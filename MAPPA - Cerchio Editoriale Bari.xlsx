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zi di lotta" sheetId="1" r:id="rId4"/>
    <sheet state="visible" name="Spazi di studio" sheetId="2" r:id="rId5"/>
    <sheet state="visible" name="Spazi di aggregazione" sheetId="3" r:id="rId6"/>
    <sheet state="visible" name="Spazi vuoti e svuotati" sheetId="4" r:id="rId7"/>
    <sheet state="visible" name="Spazi del gioco"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3">
      <text>
        <t xml:space="preserve">Non riesco più a trovare la fonte di questa informazione
	-Alessandro Lonigro</t>
      </text>
    </comment>
  </commentList>
</comments>
</file>

<file path=xl/sharedStrings.xml><?xml version="1.0" encoding="utf-8"?>
<sst xmlns="http://schemas.openxmlformats.org/spreadsheetml/2006/main" count="980" uniqueCount="718">
  <si>
    <t>Spazio</t>
  </si>
  <si>
    <t>Categoria</t>
  </si>
  <si>
    <t>Indirizzo google</t>
  </si>
  <si>
    <t>Descrizione attività</t>
  </si>
  <si>
    <t>Latitudine</t>
  </si>
  <si>
    <t>Longitudine</t>
  </si>
  <si>
    <t>Link social</t>
  </si>
  <si>
    <t>Accademia del Cinema Ragazzi</t>
  </si>
  <si>
    <t>Associazione</t>
  </si>
  <si>
    <t>Accademia Del Cinema Ragazzi - Enziteto</t>
  </si>
  <si>
    <t>L’Accademia del Cinema Ragazzi nasce  nel 2005 come laboratorio di idee, di esperienze di vita, di aggregazione sociale e culturale in un quartiere “ombra” della periferia di Bari: San Pio.</t>
  </si>
  <si>
    <t>41.14819976553621</t>
  </si>
  <si>
    <t>16.739967315342493</t>
  </si>
  <si>
    <t>https://www.instagram.com/accademiadelcinemaragazzi/</t>
  </si>
  <si>
    <t>Bread&amp;Roses - Spazio di mutuo soccorso</t>
  </si>
  <si>
    <t>Realtà autogestita</t>
  </si>
  <si>
    <t>Bread&amp;Roses è uno spazio di mutuo soccorso. Nasce a Bari, il 24 marzo 2016, da un atto di riappropriazione. Un luogo pubblico abbandonato è stato liberato e restituito alla città.</t>
  </si>
  <si>
    <t>41.10641053763678</t>
  </si>
  <si>
    <t>16.885506253972515</t>
  </si>
  <si>
    <t>https://www.instagram.com/breadandrosesbari/</t>
  </si>
  <si>
    <t>Chiosco Mimmo Bucci</t>
  </si>
  <si>
    <t>Chiosco Mimmo Bucci - APS Giustizia Climatica Ora! Bari</t>
  </si>
  <si>
    <t>Fridays for Future Bari, il nodo barese del movimento internazionale per la giustizia climatica nato nel 2018. Un gruppo eterogeneo di giovani, studentɜ, lavoratorɜ, ambientalistɜ e persone che hanno a cuore il futuro del pianeta e della nostra città.</t>
  </si>
  <si>
    <t>41.11963279549551</t>
  </si>
  <si>
    <t>16.853838957671247</t>
  </si>
  <si>
    <t>https://www.instagram.com/chiosco_mimmo_bucci/</t>
  </si>
  <si>
    <t>Ex - Caserma Liberata</t>
  </si>
  <si>
    <t>Spazio occupato</t>
  </si>
  <si>
    <t>Via G. Petroni, 8</t>
  </si>
  <si>
    <t>Un centro sociale, un cinema, una palestra, un giardino, un luogo di ritrovo per il quartiere, ma soprattutto un punto di incontro per tutte le persone pronte ad assumersi la responsabilità di rendere migliore questa città, fuori dalle logiche del mercato e del profitto.</t>
  </si>
  <si>
    <t>41.11524900537074</t>
  </si>
  <si>
    <t>16.869340409246824</t>
  </si>
  <si>
    <t>https://www.instagram.com/excasermaliberatabari/</t>
  </si>
  <si>
    <t xml:space="preserve">Ex-post moderno </t>
  </si>
  <si>
    <t>Expostmoderno</t>
  </si>
  <si>
    <t>ExpostModerno è un Bene del Comune di Bari, affidato all'Armata Brancaleone Aps secondo il Regolamento sui Beni Comuni, dal 2018 si organizza al suo interno La Festa del Cinema in Libertà, un esperimento di rassegna cinematografica partecipata.</t>
  </si>
  <si>
    <t>41.12687874145626</t>
  </si>
  <si>
    <t>16.852362923605533</t>
  </si>
  <si>
    <t>https://www.instagram.com/expostmoderno/</t>
  </si>
  <si>
    <t>Fuori Binaria</t>
  </si>
  <si>
    <t xml:space="preserve">Spazio di relazione transfemminista e luogo radicale di possibilità. </t>
  </si>
  <si>
    <t>41.15153200194211</t>
  </si>
  <si>
    <t>16.766680793356443</t>
  </si>
  <si>
    <t>https://www.instagram.com/fuoribinaria/</t>
  </si>
  <si>
    <t>Generazione urbana</t>
  </si>
  <si>
    <t>La Giusta Causa</t>
  </si>
  <si>
    <t>Spazio giovanile di mobilitazione e riflessione PoliticoCulturale.</t>
  </si>
  <si>
    <t>41.126014016250345</t>
  </si>
  <si>
    <t>16.870781422767514</t>
  </si>
  <si>
    <t>https://www.instagram.com/generazioneurbana/</t>
  </si>
  <si>
    <t xml:space="preserve">Mixed </t>
  </si>
  <si>
    <t>MiXED lgbtqia+</t>
  </si>
  <si>
    <t>MiXED lgbti è un'associazione di promozione sociale senza scopo di lucro aderente alla rete ARCI e centro di attività associativa autonomo, pluralista, apartitico, a carattere volontario, democratico e antifascista.</t>
  </si>
  <si>
    <t>41.1205907672042</t>
  </si>
  <si>
    <t>16.876256718780194</t>
  </si>
  <si>
    <t>https://www.instagram.com/mixed.lgbtqia/</t>
  </si>
  <si>
    <t>Officina Che Guevara</t>
  </si>
  <si>
    <t>Via Isonzo, 32</t>
  </si>
  <si>
    <t>Nel cuore del quartiere Carrassi, la sede politica della Rete dei Comunisti, Cambiare Rotta e Osa. Uno spazio che vuole rafforzare il naturale valore della collettività e della convivialità, in controtendenza ad un mondo di individualismo e frammentazione.</t>
  </si>
  <si>
    <t>41.10938608550947</t>
  </si>
  <si>
    <t>16.87087399428112</t>
  </si>
  <si>
    <t>https://www.instagram.com/officina.cheguevara/</t>
  </si>
  <si>
    <t>Orto Gentile</t>
  </si>
  <si>
    <t>Coordinamento</t>
  </si>
  <si>
    <t>Ortogentile</t>
  </si>
  <si>
    <t>Un’iniziativa di agricoltura civica che punta a rafforzare il ruolo dell’agricoltura, riconciliandone le pratiche con gli ecosistemi naturali e la giustizia sociale. Un'orto sociale gestito da Ortocircuito, Solidaria, BreadandRoses e diversi volontari.</t>
  </si>
  <si>
    <t>41.11108604721598</t>
  </si>
  <si>
    <t>16.902728342164757</t>
  </si>
  <si>
    <t>https://www.facebook.com/ortogentile</t>
  </si>
  <si>
    <t>Parco Campagneros</t>
  </si>
  <si>
    <t>Uno spazio multifunzionale a 360 gradi, in cui le pratiche agricole urbane sono affiancate da un ampio ventaglio di attività culturali e ricreative gestito dall'associazione Effetto Terra.</t>
  </si>
  <si>
    <t>41.096329944157816</t>
  </si>
  <si>
    <t>16.885309119046994</t>
  </si>
  <si>
    <t>https://www.facebook.com/ParcoCampagneros</t>
  </si>
  <si>
    <t>Parco Gargasole</t>
  </si>
  <si>
    <t>Via Donato Gargasole</t>
  </si>
  <si>
    <t>Percorso di rigenerazione creativa dell'area verde di Via Gargasole presso l'ex Caserma Rossani, promosso dal Comune di Bari.</t>
  </si>
  <si>
    <t>41.11386067649165</t>
  </si>
  <si>
    <t>16.8711306623695</t>
  </si>
  <si>
    <t>https://www.instagram.com/parco_gargasole/</t>
  </si>
  <si>
    <t>Radio Frequenza Libera</t>
  </si>
  <si>
    <t>Frequenza Libera</t>
  </si>
  <si>
    <t>Frequenza Libera è una Radio Libera Universitaria, un'idea, un esperimento, un canale radiofonico sul Web (con tante incursioni in FM), indipendente, volontario, a basso costo per far confluire idee, posizioni, informazioni, modi di essere e di pensare degli studenti per gli studenti.</t>
  </si>
  <si>
    <t>41.10885559826411</t>
  </si>
  <si>
    <t>16.87974374374627</t>
  </si>
  <si>
    <t>https://www.instagram.com/frequenzalibera/</t>
  </si>
  <si>
    <t>Spazio 13</t>
  </si>
  <si>
    <t>Spazio 13 - Urban Center</t>
  </si>
  <si>
    <t>Persone e progetti che coesistono e insistono nella sperimentazione culturale e sociale. Contenitore di storie e possibilità.</t>
  </si>
  <si>
    <t>41.124811481549365</t>
  </si>
  <si>
    <t>16.856063753227154</t>
  </si>
  <si>
    <t>https://www.instagram.com/spaziotredici/</t>
  </si>
  <si>
    <t>Spazio 17</t>
  </si>
  <si>
    <t>Spazio17</t>
  </si>
  <si>
    <t>Spazio17 è un luogo di aggregazione sociale, politica e culturale nel cuore del quartiere Madonnella a Bari.</t>
  </si>
  <si>
    <t>41.11993349495859</t>
  </si>
  <si>
    <t>16.878735815342495</t>
  </si>
  <si>
    <t>https://www.instagram.com/spazio17bari/</t>
  </si>
  <si>
    <t>TUO - Teatri urbani organizzati</t>
  </si>
  <si>
    <t>Teatrino di Quartiere / sindacato Cobas</t>
  </si>
  <si>
    <t>Un teatro che racconta a operatori e pubblico le verità sul sistema dello spettacolo dal vivo e nuove strategie di teatro indipendente. Ri-crea momenti di festa e in-formazione fuori dal comune.</t>
  </si>
  <si>
    <t>41.12000288108822</t>
  </si>
  <si>
    <t>16.859875964393083</t>
  </si>
  <si>
    <t>https://www.facebook.com/teatriurbaniorganizzati/</t>
  </si>
  <si>
    <t>Villa Roth</t>
  </si>
  <si>
    <t>Via Canonico Annibale Maria di Francia, 17</t>
  </si>
  <si>
    <t>L’occupazione di Villa Roth, abbandonata per 15 anni circa, nasce dalle diverse esigenze dei singoli che hanno deciso di unire gli intenti e di prendersi ciò di cui avevano bisogno. Un’occupazione è tutto questo: casa, politica, socialità.</t>
  </si>
  <si>
    <t>41.11145226862647</t>
  </si>
  <si>
    <t>16.878642650483584</t>
  </si>
  <si>
    <t>https://www.facebook.com/VillaRothOccupata</t>
  </si>
  <si>
    <t>Voga Project</t>
  </si>
  <si>
    <t>Collettivo</t>
  </si>
  <si>
    <t>VOGA art project</t>
  </si>
  <si>
    <t>VOGA è un’organizzazione no profit dedicata alla ricerca, produzione e valorizzazione dell’arte contemporanea in Puglia.</t>
  </si>
  <si>
    <t>41.12593139835476</t>
  </si>
  <si>
    <t>16.849067768082563</t>
  </si>
  <si>
    <t>https://www.instagram.com/vogaartproject/</t>
  </si>
  <si>
    <t>Zamp3 mostruos3</t>
  </si>
  <si>
    <t>Zamp3 Mostruos3</t>
  </si>
  <si>
    <t>Collettiva transfemminista queer.</t>
  </si>
  <si>
    <t>41.12100897271988</t>
  </si>
  <si>
    <t>16.864001146387487</t>
  </si>
  <si>
    <t>https://www.instagram.com/zamp3_mostruos3/</t>
  </si>
  <si>
    <t>Zona Franka</t>
  </si>
  <si>
    <t>Zona Franka 3.zero</t>
  </si>
  <si>
    <t>Spazio sociale di aggregazione giovanile, laboratorio politico, centro di produzione artistica e culturale.</t>
  </si>
  <si>
    <t>41.12118707243734</t>
  </si>
  <si>
    <t>16.88021806233965</t>
  </si>
  <si>
    <t>https://www.instagram.com/zona.franka/</t>
  </si>
  <si>
    <t>Indirizzo</t>
  </si>
  <si>
    <t xml:space="preserve">Orari e giorni di apertura </t>
  </si>
  <si>
    <t>Funzionalità</t>
  </si>
  <si>
    <t>Capienza</t>
  </si>
  <si>
    <t>Link</t>
  </si>
  <si>
    <t>Note</t>
  </si>
  <si>
    <t>Aula Studio “Andrea Maggio”</t>
  </si>
  <si>
    <t>Policlinico</t>
  </si>
  <si>
    <t>Biblioteca Centrale della scuola di Medicina, terzo piano</t>
  </si>
  <si>
    <t>lunedì: 7:30 - 22:30
martedì: 7:30 - 22:30
mercoledì: 7:30 - 22:30
giovedì: 7:30 - 22:30
venerdì: 7:30 - 22:30
sabato: 8:00 - 19:30
domenica: 9:00 - 16:30</t>
  </si>
  <si>
    <t>Accessibile tramite un ascensore. Prese a tavolo</t>
  </si>
  <si>
    <t>Aula Studio "Andrea Maggio" — Scuola di Medicina</t>
  </si>
  <si>
    <t>41.11198525216712</t>
  </si>
  <si>
    <t>16.86040901474208</t>
  </si>
  <si>
    <t>Biblioteca Centrale Polo Medico-Veterinario “Claudio Malaguzzi Valeri”</t>
  </si>
  <si>
    <t>Biblioteca Centrale della scuola di Medicina, piano terra e primo piano</t>
  </si>
  <si>
    <t>lunedì: 8:30 - 19:30
martedì: 8:30 - 19:30
mercoledì: 8:30 - 19:30
giovedì: 8:30 - 19:30
venerdì: 8:30 - 19:30
sabato: 8:30 - 13:30
domenica: chiuso</t>
  </si>
  <si>
    <t xml:space="preserve">Accesso via scale. E' possibile accedere tramite un percorso alternativo per portatori di handicap, ma è complesso e non facilmente raggiungibile. </t>
  </si>
  <si>
    <t>Biblioteca Centrale Polo Medico-Veterinario "Claudio Malaguzzi Valeri"</t>
  </si>
  <si>
    <t>41.11186237012392</t>
  </si>
  <si>
    <t>16.86014453046411</t>
  </si>
  <si>
    <t>Sala lettura presso Nuovi Istituti Biologici</t>
  </si>
  <si>
    <t>lunedì: 08:00 - 19:00
martedì: 08:00 - 19:00
mercoledì: 08:00 - 19:00
giovedì: 08:00 - 19:00
venerdì: 08:00 - 19:00
sabato: chiuso
domenica: chiuso</t>
  </si>
  <si>
    <t xml:space="preserve">Piano terra, facilmente accessibile per persone con disabilità. Prese a parete, sono poche. </t>
  </si>
  <si>
    <r>
      <rPr>
        <rFont val="Roboto"/>
        <color rgb="FF434343"/>
        <sz val="10.0"/>
        <u/>
      </rPr>
      <t>https://www.instagram.com/ops_uniba/p/DBwH5BFN0vx/?img_index=4</t>
    </r>
  </si>
  <si>
    <t>41.1135293794519</t>
  </si>
  <si>
    <t>16.860396379257505</t>
  </si>
  <si>
    <t>Biblioteca Centrale del Polo Umanistico e di Comunità</t>
  </si>
  <si>
    <t>Ateneo</t>
  </si>
  <si>
    <t>Palazzo Ateneo, piano terra</t>
  </si>
  <si>
    <t>lunedì: 9:00 - 19:45
martedì: 9:00 - 19:45
mercoledì: 9:00 - 19:45
giovedì: 9:00 - 19:45
venerdì: 9:00 - 19:45
sabato: chiuso
domenica: chiuso</t>
  </si>
  <si>
    <t>Tre sale, di cui una interdetta per ora. Possibilità di consultazione dei testi. Diverse prese per postazione. Piano terra</t>
  </si>
  <si>
    <t>Biblioteca dell'Ateneo: Biblioteca Centrale del Polo Umanistico e di Comunità</t>
  </si>
  <si>
    <t>41.12012060661234</t>
  </si>
  <si>
    <t>16.869652074300653</t>
  </si>
  <si>
    <t>Biblioteca For.Psi.Com.</t>
  </si>
  <si>
    <t>Università degli Studi di Bari - Dipartimento di Scienze della Formazione, Psicologia, Comunicazione, piano terra</t>
  </si>
  <si>
    <t>lunedì: 7:45 - 19:15
martedì: 7:45 - 19:15
mercoledì: 7:45 - 19:15
giovedì: 7:45 - 19:15
venerdì: 7:45 - 19:15
sabato: 8:00 - 13:00
domenica: chiuso</t>
  </si>
  <si>
    <t>Possibilità di consultazione dei testi.</t>
  </si>
  <si>
    <t>41.119718030455914</t>
  </si>
  <si>
    <t>16.867496649687354</t>
  </si>
  <si>
    <t>Biblioteca di Lingue e Letterature straniere</t>
  </si>
  <si>
    <t>lunedì: 8:00 - 20:00
martedì: 8:00 - 20:00
mercoledì: 8:00 - 20:00
giovedì: 8:00 - 20:00
venerdì: 8:00 - 20:00
sabato: chiuso
domenica: chiuso</t>
  </si>
  <si>
    <t>Ci sono le scale all'ingresso, senza apparecchio per sedia a rotelle. quindi, accedere per una persona con disabilità è impossibile. Senza prese elettriche.</t>
  </si>
  <si>
    <t>41.12056222905006</t>
  </si>
  <si>
    <t>16.866512187797493</t>
  </si>
  <si>
    <t>Biblioteca di Lingue e Tradizioni culturali europee</t>
  </si>
  <si>
    <t>Palazzo Ateneo</t>
  </si>
  <si>
    <t>lunedì: 8:00 - 14:00
martedì: 8:00 - 14:00
mercoledì: 8:00 - 14:00
giovedì: 8:00 - 14:00
venerdì: chiuso
sabato: chiuso
domenica: chiuso</t>
  </si>
  <si>
    <t xml:space="preserve">Prese concentrate solo in un punto dell'aula, accesso tramite ascensore </t>
  </si>
  <si>
    <t>41.12099654902456</t>
  </si>
  <si>
    <t>16.868401915085155</t>
  </si>
  <si>
    <t>Biblioteca di Scienze Filosofiche</t>
  </si>
  <si>
    <t>lunedì: 08:30 - 17:00
martedì: 08:30 - 17:00
mercoledì: 08:30 - 17:00
giovedì: 08:30 - 17:00
venerdì: 08:30 - 14:00
sabato: chiuso
domenica: chiuso</t>
  </si>
  <si>
    <t>Storia e Filosofia</t>
  </si>
  <si>
    <t>41.12035315658549</t>
  </si>
  <si>
    <t>16.868791900900348</t>
  </si>
  <si>
    <t>Biblioteca Corsano</t>
  </si>
  <si>
    <t>"Sala lettura" Lun-Ven --&gt; 08:30-19:45; "Sala Studio" Lun-Giov--&gt; 09:00-19:45; Ven 09:00-13:45</t>
  </si>
  <si>
    <t>Hanno una bassa capienza e bisogna autenticarsi tramite una firma su un elenco prima di entrare. Solo alcuni tavoli hanno le prese, tutte concentrate in un punto dell'aula</t>
  </si>
  <si>
    <t>41.12024151707262</t>
  </si>
  <si>
    <t>16.868218621752014</t>
  </si>
  <si>
    <t>Biblioteca di Archeologia e cristianistica</t>
  </si>
  <si>
    <t>lunedì: 08:30 - 17:00
martedì: 08:30 - 17:00
mercoledì: 08:30 - 14:00
giovedì: 08:30 - 17:00
venerdì: 08:30 - 14:00
sabato: chiuso
domenica: chiuso</t>
  </si>
  <si>
    <t xml:space="preserve">Piano Terra </t>
  </si>
  <si>
    <t>Archeologia e Cristianistica - Bari</t>
  </si>
  <si>
    <t>Sede meravigliosa, io l'ho vista qualche volta ma non ci sono mai entrato. Si trova proprio dentro Barivecchia, splendido.</t>
  </si>
  <si>
    <t>41.12753541937561</t>
  </si>
  <si>
    <t>16.870487873672367</t>
  </si>
  <si>
    <t>Biblioteca di Scienze dell'Antichità</t>
  </si>
  <si>
    <t>lunedì: 8:15 - 17:15
martedì: 8:15 - 17:15
mercoledì: 8:15 - 17:15
giovedì: 8:15 - 17:15
venerdì: 8:15 - 14:00
sabato: chiuso
domenica: chiuso</t>
  </si>
  <si>
    <t>Lettere — Portale SiBA</t>
  </si>
  <si>
    <t>41.120623440935475</t>
  </si>
  <si>
    <t>16.868183523028648</t>
  </si>
  <si>
    <t>Sala studio "Benedetto Petrone"</t>
  </si>
  <si>
    <t>lunedì: 08:00 - 21:15
martedì: 08:00 - 21:15
mercoledì: 08:00 - 21:15
giovedì: 08:00 - 21:15
venerdì: 08:00 - 21:15
sabato: 08:00 - 18:15
domenica: 09:00 - 16:45</t>
  </si>
  <si>
    <t>Una delle più frequentate da quel che mi risulta. Prese a tavolo. Ingresso accessibile in sedia a rotelle</t>
  </si>
  <si>
    <t>Orari di apertura delle biblioteche e sale studio che fruiscono del servizio di portierato</t>
  </si>
  <si>
    <t>41.12124830390445</t>
  </si>
  <si>
    <t>16.867590795736216</t>
  </si>
  <si>
    <t>Sala lettura Palazzo Chiaia-Napolitano (1)</t>
  </si>
  <si>
    <t>lunedì: 07:45 - 19:15
martedì: 07:45 - 19:15
mercoledì: 07:45 - 19:15
giovedì: 07:45 - 19:15
venerdì: 07:45 - 19:15
sabato: 07:45 - 13:15
domenica: chiuso</t>
  </si>
  <si>
    <t>Prese al banco</t>
  </si>
  <si>
    <t>41.11977243037357</t>
  </si>
  <si>
    <t>16.868026958954452</t>
  </si>
  <si>
    <t>Sala lettura Palazzo Chiaia-Napolitano (2)</t>
  </si>
  <si>
    <t>lunedì: 07:30 - 19:30
martedì: 07:30 - 19:30
mercoledì: 07:30 - 19:30
giovedì: 07:30 - 19:30
venerdì: 07:30 - 19:30
sabato: 08:00 - 13:15
domenica: chiuso</t>
  </si>
  <si>
    <t>41.11977243037358</t>
  </si>
  <si>
    <t>16.868026958954453</t>
  </si>
  <si>
    <t>Biblioteca Palazzo Ex Fiat (lingue)</t>
  </si>
  <si>
    <t>lunedì: 08:30 - 14:30
martedì: 08:30 - 14:30
mercoledì: 08:30 - 14:30
giovedì: 08:30 - 14:30
venerdì: 08:30 - 14:30
sabato: chiuso
domenica: chiuso</t>
  </si>
  <si>
    <t>Devo chiedere a un'amica in questi giorni per maggiori info</t>
  </si>
  <si>
    <t>41.12038867792904</t>
  </si>
  <si>
    <t>16.866044011696342</t>
  </si>
  <si>
    <t>Seminario Giuridico</t>
  </si>
  <si>
    <t>lunedì: 8:00 - 13:30, 14:30 - 17:30
martedì: 8:00 - 13:30, 14:30 - 17:30
mercoledì: 8:00 - 13:30, 14:30 - 17:30
giovedì: 8:00 - 13:30, 14:30 - 17:30
venerdì: 8:00 - 13:30
sabato: chiuso
domenica: chiuso</t>
  </si>
  <si>
    <t>Prese in aula</t>
  </si>
  <si>
    <t>Seminario giuridico — Giurisprudenza</t>
  </si>
  <si>
    <t>41.120234642131905</t>
  </si>
  <si>
    <t>16.867074565584655</t>
  </si>
  <si>
    <t>Aula Vittime Innocenti di tutte le Mafie</t>
  </si>
  <si>
    <t>lunedì: 08:30 - 18:45
martedì: 08:30 - 18:45
mercoledì: 08:30 - 18:45
giovedì: 08:30 - 18:45
venerdì: 08:30 - 18:45
sabato: chiuso
domenica: chiuso</t>
  </si>
  <si>
    <t>41.120234642131906</t>
  </si>
  <si>
    <t>16.867074565584656</t>
  </si>
  <si>
    <t xml:space="preserve">Aree studio </t>
  </si>
  <si>
    <t>lunedì: 08:30 - 19:45
martedì: 08:30 - 19:45
mercoledì: 08:30 - 19:45
giovedì: 08:30 - 19:45
venerdì: 08:30 - 19:00
sabato: chiuso
domenica: chiuso</t>
  </si>
  <si>
    <t>Prese al muro</t>
  </si>
  <si>
    <t>41.120234642131907</t>
  </si>
  <si>
    <t>16.867074565584657</t>
  </si>
  <si>
    <t>Sala lettura di Diritto Privato</t>
  </si>
  <si>
    <t>lunedì: 09:00 - 18:45
martedì: 09:00 - 18:45
mercoledì: 09:00 - 18:45
giovedì: 09:00 - 18:45
venerdì: 09:00 - 18:45
sabato: chiuso
domenica: chiuso</t>
  </si>
  <si>
    <t>41.120234642131908</t>
  </si>
  <si>
    <t>16.867074565584658</t>
  </si>
  <si>
    <t>Aula di Informatica</t>
  </si>
  <si>
    <t>Dipartimento di Giurisprudenza, Piazza Cesare Battisti 1</t>
  </si>
  <si>
    <t>Sta sul file di Link che mi hai mandato, ma non ne trovo traccia</t>
  </si>
  <si>
    <t>41.11989680050723</t>
  </si>
  <si>
    <t>16.868028045455446</t>
  </si>
  <si>
    <t>Sala lettura di diritto Romano</t>
  </si>
  <si>
    <t>lunedì: 09:00 - 18:00
martedì: 09:00 - 18:00
mercoledì: 09:00 - 18:00
giovedì: 09:00 - 18:00
venerdì: 09:00 - 18:00
sabato: chiuso
domenica: chiuso</t>
  </si>
  <si>
    <t>Sala lettura di diritto Pubblico</t>
  </si>
  <si>
    <t>lunedì: 09:00 - 17:00
martedì: 09:00 - 17:00
mercoledì: 09:00 - 17:00
giovedì: 09:00 - 17:00
venerdì: 09:00 - 17:00
sabato: chiuso
domenica: chiuso</t>
  </si>
  <si>
    <t>Sala lettura di diritto Penale</t>
  </si>
  <si>
    <t>Sala lettura di diritto del Lavoro</t>
  </si>
  <si>
    <t>Non segnalata, sarà sulla 20ina come le altre</t>
  </si>
  <si>
    <t>Sala lettura diritto Tributario e Finanza Pubblica</t>
  </si>
  <si>
    <t>Aula diritto di Unione</t>
  </si>
  <si>
    <t>lunedì: 09:00 - 19:45
martedì: 09:00 - 19:45
mercoledì: 09:00 - 19:45
giovedì: 09:00 - 19:45
venerdì: 09:00 - 19:45
sabato: chiuso
domenica: chiuso</t>
  </si>
  <si>
    <t>?</t>
  </si>
  <si>
    <t>Aula diritto internazionale</t>
  </si>
  <si>
    <t>lunedì: 09:00 - 19:00
martedì: 09:00 - 19:00
mercoledì: 09:00 - 19:00
giovedì: 09:00 - 19:00
venerdì: 09:00 - 19:00
sabato: chiuso
domenica: chiuso</t>
  </si>
  <si>
    <t>Biblioteca Michele Brucoli</t>
  </si>
  <si>
    <t>Politecnico</t>
  </si>
  <si>
    <t xml:space="preserve">lunedì: 09:00 - 21:00
martedì: 09:00 - 21:00
mercoledì: 09:00 - 21:00
giovedì: 09:00 - 21:00
venerdì: 09:00 - 21:00
sabato: chiuso
domenica: chiuso
</t>
  </si>
  <si>
    <t xml:space="preserve">Si può usufruire di un'aula informatica (con computer), basta chiedere al personale. Prese a banco. Si accede tramite ascensore.
Si possono anche chiedere libri in prestito: ci sono libri praticamente per qualsiasi materia e richiedere è facilissimo, basta chiedere al personale. Il prestito richiede di firmare un registro. Il prestito ha durata di 30 giorni (proprogabili)
</t>
  </si>
  <si>
    <t>2 aule: una da 48 e una da 88; tot: 136</t>
  </si>
  <si>
    <t>https://www.poliba.it/it/sba/sba-sistema-bibliotecario-di-ateneo</t>
  </si>
  <si>
    <t>Occorre prenotarsi la postazione dal portale di registrazione. Bisogna poi fare il check-in all'ingresso. la prenotazione ha durata massima (prorogabile) di 4 ore.</t>
  </si>
  <si>
    <t>41.109022</t>
  </si>
  <si>
    <t>16.879245</t>
  </si>
  <si>
    <t>Student Center - 1° piano</t>
  </si>
  <si>
    <t xml:space="preserve">lunedì: 8:00 - 22:00
martedì: 8:00 - 22:00
mercoledì: 8:00 - 22:00
giovedì: 8:00 - 22:00
venerdì: 8:00 - 22:00
sabato: chiuso
domenica: chiuso
</t>
  </si>
  <si>
    <t>Tavoli e prese di corrente. Si accede con ascensore. Prese a banco</t>
  </si>
  <si>
    <t>STUDENT CENTER | Politecnico di Bari</t>
  </si>
  <si>
    <t xml:space="preserve">Non è necessaria la prenotazione. </t>
  </si>
  <si>
    <t>41.10794180177907</t>
  </si>
  <si>
    <t>16.879580195104655</t>
  </si>
  <si>
    <t>Student Center - 2° piano</t>
  </si>
  <si>
    <t>lunedì: 8:00 - 22:00
martedì: 8:00 - 22:00
mercoledì: 8:00 - 22:00
giovedì: 8:00 - 22:00
venerdì: 8:00 - 22:00
sabato: chiuso
domenica: chiuso</t>
  </si>
  <si>
    <t>41.10794180177908</t>
  </si>
  <si>
    <t>16.879580195104656</t>
  </si>
  <si>
    <t>Biblioteca poli-library</t>
  </si>
  <si>
    <t>lunedì: 09:00 - 21:30
martedì: 09:00 - 21:30
mercoledì: 09:00 - 21:30
giovedì: 09:00 - 21:30
venerdì: 09:00 - 21:30
sabato: 09:00 - 13:30
domenica: chiuso</t>
  </si>
  <si>
    <t>Tavoli e prese di corrente, prestito e consultazione, postazioni internet. Si accede tramite prenotazione.</t>
  </si>
  <si>
    <t>128+16 postazioni internet</t>
  </si>
  <si>
    <t>Biblioteca PoliLibrary | Politecnico di Bari</t>
  </si>
  <si>
    <r>
      <rPr>
        <rFont val="Roboto"/>
        <b/>
        <color theme="1"/>
        <sz val="10.0"/>
      </rPr>
      <t xml:space="preserve">Unica aperta il sabato. </t>
    </r>
    <r>
      <rPr>
        <rFont val="Roboto"/>
        <b val="0"/>
        <color theme="1"/>
        <sz val="10.0"/>
      </rPr>
      <t>Prevista prenotazione come "Aula Brucoli"</t>
    </r>
  </si>
  <si>
    <t>41.10885138339526</t>
  </si>
  <si>
    <t>16.878513086003583</t>
  </si>
  <si>
    <t>Biblioteca Centrale del Polo Economico</t>
  </si>
  <si>
    <t>Prese al banco.</t>
  </si>
  <si>
    <t>41.095086794134936</t>
  </si>
  <si>
    <t>16.85342823331601</t>
  </si>
  <si>
    <t xml:space="preserve">Biblioteca di Matematica </t>
  </si>
  <si>
    <t>Campus</t>
  </si>
  <si>
    <t>lunedì: 8:00 - 19:00
martedì: 8:00 - 19:00
mercoledì: 8:00 - 19:00
giovedì: 8:00 - 19:00
venerdì: 8:00 - 18:00
sabato: chiuso
domenica: chiuso</t>
  </si>
  <si>
    <t xml:space="preserve">tavoli e prese di corrente </t>
  </si>
  <si>
    <t>U. O. Biblioteca di Matematica — Italiano</t>
  </si>
  <si>
    <t xml:space="preserve">c'è rampa di accesso per persone con disabilità </t>
  </si>
  <si>
    <t>41.10855922245521</t>
  </si>
  <si>
    <t>16.88062304609063</t>
  </si>
  <si>
    <t>Sala Lettura "Montaruli"</t>
  </si>
  <si>
    <t>in aula</t>
  </si>
  <si>
    <t>https://www.uniba.it/it/ricerca/dipartimenti/farmacia/dipartimento/ubicazione-aule</t>
  </si>
  <si>
    <t>41.10892880374176</t>
  </si>
  <si>
    <t>16.88340047986904</t>
  </si>
  <si>
    <t>Sala Studio di Scienze della Terra e Bioambientali</t>
  </si>
  <si>
    <t xml:space="preserve">tavoli e prese di corrente. c'è rampa di accesso per persone con disabilità e ascensore </t>
  </si>
  <si>
    <t>Università di Bari - Home Biblioteca Dipartimento</t>
  </si>
  <si>
    <t>41.10957262704633</t>
  </si>
  <si>
    <t>16.880650122072247</t>
  </si>
  <si>
    <t xml:space="preserve">Aula studenti del Dipartimento di Scienze della Terra </t>
  </si>
  <si>
    <t>Accessibile a persone con disbailità (piano terra con rampa). Le prese sono poce</t>
  </si>
  <si>
    <t xml:space="preserve">c'è rampa di accesso per persone con disabilità e ascensore </t>
  </si>
  <si>
    <t>41.10956858520625</t>
  </si>
  <si>
    <t>16.880703766249063</t>
  </si>
  <si>
    <t xml:space="preserve">Biblioteca di Agraria </t>
  </si>
  <si>
    <t>L'accesso ai disabili è attrezzato tramite rampa, vi sono disponibili prese.</t>
  </si>
  <si>
    <t>41.11038481796455</t>
  </si>
  <si>
    <t>16.882870251582766</t>
  </si>
  <si>
    <t xml:space="preserve">Aula studio del Dipartimento di Agraria </t>
  </si>
  <si>
    <t>lunedì: 8:30 - 19:30
martedì: 8:30 - 19:30
mercoledì: 8:30 - 19:30
giovedì: 8:30 - 19:30
venerdì: 8:30 - 19:30
sabato: chiuso
domenica: chiuso</t>
  </si>
  <si>
    <t>tavoli e prese di corrente. L'accesso ai disabili è attrezzato tramite una rampa.</t>
  </si>
  <si>
    <t xml:space="preserve">Collocata accanto alla portineria esterna, da fuori è segnalata, dall'interno no, però per le persone con disabilità accessibile solo dall'interno, perché le rampe sono lontane </t>
  </si>
  <si>
    <t>41.11033429557337</t>
  </si>
  <si>
    <t>16.88280587856772</t>
  </si>
  <si>
    <t>Aula multimediale</t>
  </si>
  <si>
    <t>lunedì: 8:30 - 21:00
martedì: 8:30 - 21:00
mercoledì: 8:30 - 21:00
giovedì: 8:30 - 21:00
venerdì: 8:30 - 21:00
sabato: chiuso
domenica: chiuso</t>
  </si>
  <si>
    <t>Accessibile alle persone con disabilità. Prese disponibili.</t>
  </si>
  <si>
    <t>41.110350462742765</t>
  </si>
  <si>
    <t>16.88283270065732</t>
  </si>
  <si>
    <t xml:space="preserve">Sala lettura della Biblioteca del Nuovo Palazzo dei Dipartimenti Biologici </t>
  </si>
  <si>
    <t>lunedì: 8:30 - 19:45
martedì: 8:30 - 19:45
mercoledì: 8:30 - 19:45
giovedì: 8:30 - 19:45
venerdì: 8:30 - 19:00
sabato: chiuso
domenica: chiuso</t>
  </si>
  <si>
    <t>tavoli e prese di corrente</t>
  </si>
  <si>
    <t xml:space="preserve">Non Segnalata </t>
  </si>
  <si>
    <t>Biblioteca Dipartimento di Bioscienze, Biotecnologie e Biofarmaceutica</t>
  </si>
  <si>
    <t>41.11025231800215</t>
  </si>
  <si>
    <t>16.882363763968268</t>
  </si>
  <si>
    <t xml:space="preserve">Aule studio C e D del Vecchio Palazzo Dipartimenti Biologici </t>
  </si>
  <si>
    <t>Biblioteche e Sale Studio — Scienze Biologiche</t>
  </si>
  <si>
    <t>41.11011109453616</t>
  </si>
  <si>
    <t>16.88549059633585</t>
  </si>
  <si>
    <t>Sala Lettura della Biblioteca di Fisica (primo piano)</t>
  </si>
  <si>
    <t>lunedì: 8:30 - 19:30
martedì: 8:30 - 19:30
mercoledì: 8:30 - 19:30
giovedì: 8:30 - 19:30
venerdì: 8:30 - 18:30
sabato: chiuso
domenica: chiuso</t>
  </si>
  <si>
    <t>tavoli e prese di corrente. Accessibile alle persone con disabilità (ascensore).</t>
  </si>
  <si>
    <t>Biblioteca di Fisica</t>
  </si>
  <si>
    <t>41.108434221176644</t>
  </si>
  <si>
    <t>16.8841747154039</t>
  </si>
  <si>
    <t>Sala Lettura della Biblioteca di Fisica (piano terra)</t>
  </si>
  <si>
    <t>lunedì: 8:30 - 19:45
martedì: 8:30 - 19:45
mercoledì: 8:30 - 19:45
giovedì: 8:30 - 19:45
venerdì: 8:30 - 19:45
sabato: 8:30 - 13:30
domenica: chiuso</t>
  </si>
  <si>
    <t>tavoli e prese di corrente. Accessibile alle persone con disabilità (rampa al piano terra).</t>
  </si>
  <si>
    <t>41.10782411543911</t>
  </si>
  <si>
    <t>16.884483127664858</t>
  </si>
  <si>
    <t xml:space="preserve">Aula studio del Dipartimento di Chimica </t>
  </si>
  <si>
    <t>Campus E. Quagliariello - Via E. Orabona 4</t>
  </si>
  <si>
    <t>c'è rampa di accesso per persone con disabilità. Qualche porta accanto all'aula studio c'è la porta della biblioteca, ma a quanto pare in quella sala lettura non si va a studiare perché stanno i dottorandi.</t>
  </si>
  <si>
    <t>41.108967735703544</t>
  </si>
  <si>
    <t>16.88378843902864</t>
  </si>
  <si>
    <t>Aula studio del Dipartimento di Informatica (piano terra)</t>
  </si>
  <si>
    <t>lunedì: 8:00 - 19:30
martedì: 8:00 - 19:30
mercoledì: 8:00 - 19:30
giovedì: 8:00 - 19:30
venerdì: 8:00 - 18:30
sabato: chiuso
domenica: chiuso</t>
  </si>
  <si>
    <t>41.10970964158545</t>
  </si>
  <si>
    <t>16.88156167155953</t>
  </si>
  <si>
    <t>Aula studio del Dipartimento di Informatica (piano interrato)</t>
  </si>
  <si>
    <t xml:space="preserve">da quello che ho visto non è accessibile a persone con disabilità </t>
  </si>
  <si>
    <t>41.10970964158546</t>
  </si>
  <si>
    <t>16.88156167155954</t>
  </si>
  <si>
    <t>Biblioteca della Soprintendenza ABAP – Bari</t>
  </si>
  <si>
    <t>Fuori dall'uni</t>
  </si>
  <si>
    <t>Via Pier l'Eremita 25/B, 70122 Bari</t>
  </si>
  <si>
    <t>lunedì: chiuso
martedì: 09:00 - 13:00
mercoledì: 09:00 - 13:00
giovedì: 09:00 - 13:00
venerdì: 09:00 - 13:00
sabato: chiuso
domenica: chiuso</t>
  </si>
  <si>
    <t>Archivio specialistico, consultazione solo su appuntamento</t>
  </si>
  <si>
    <t>Biblioteca - Soprintendenza Archeologia, Belle Arti e Paesaggio</t>
  </si>
  <si>
    <t>41.13092435202318</t>
  </si>
  <si>
    <t>16.868803628438346</t>
  </si>
  <si>
    <t>Biblioteca della Provincia delle Puglie dei Frati minori cappuccini</t>
  </si>
  <si>
    <t>Via Gen. N. Bellomo 94, 70124 Bari</t>
  </si>
  <si>
    <t>lunedì: 09:00 - 13:00
martedì: 09:00 - 13:00, 16:00 - 18:00
mercoledì: 09:00 - 13:00
giovedì: 09:00 - 13:00, 16:00 - 18:00
venerdì: 09:00 - 13:00
sabato: chiuso
domenica: chiuso</t>
  </si>
  <si>
    <t>Biblioteca teologica con prestito gratuito.</t>
  </si>
  <si>
    <r>
      <rPr>
        <color rgb="FF434343"/>
        <u/>
      </rPr>
      <t>Biblioteca della Provincia delle Puglie dei Frati minori cappuccini</t>
    </r>
    <r>
      <rPr>
        <color rgb="FF434343"/>
      </rPr>
      <t xml:space="preserve"> </t>
    </r>
  </si>
  <si>
    <t>41.10078912574911</t>
  </si>
  <si>
    <t>16.848335454270284</t>
  </si>
  <si>
    <t>Biblioteca del Conservatorio di Musica “Niccolò Piccinni”</t>
  </si>
  <si>
    <t>Via Michele Cifarelli 26, 70124 Bari</t>
  </si>
  <si>
    <t>lunedì: 09:30 - 12:30, 15:00 - 18:00
martedì: 09:30 - 12:30, 15:00 - 18:00
mercoledì: 09:30 - 12:30, 15:00 - 18:00
giovedì: 09:30 - 12:30, 15:00 - 18:00
venerdì: 09:30 - 12:30, 15:00 - 18:00
sabato: 09:30 - 12:30
domenica: chiuso</t>
  </si>
  <si>
    <t>Biblioteca musicale con cataloghi informatici; PC consultazione cataloghi e database</t>
  </si>
  <si>
    <t>–</t>
  </si>
  <si>
    <t>Biblioteca - Conservatorio di Musica Bari</t>
  </si>
  <si>
    <t>41.11585902018102</t>
  </si>
  <si>
    <t>16.856712910090973</t>
  </si>
  <si>
    <t>Biblioteca della Fondazione Giuseppe Tatarella</t>
  </si>
  <si>
    <t>Via Nicolò Piccinni 97, 70122 Bari</t>
  </si>
  <si>
    <t>Sale lettura, Wi-Fi, postazioni PC; archivi storici e sale riunioni; area bambini e sala video-proiezioni</t>
  </si>
  <si>
    <r>
      <rPr>
        <color rgb="FF434343"/>
        <u/>
      </rPr>
      <t>Fondazione Tatarella</t>
    </r>
  </si>
  <si>
    <t>41.12550607906539</t>
  </si>
  <si>
    <t>16.868314838927418</t>
  </si>
  <si>
    <t>Biblioteca dei Ragazzi[e]</t>
  </si>
  <si>
    <t>Parco Largo 2 Giugno, ingresso Viale della Resistenza, 70125 Bari</t>
  </si>
  <si>
    <t>lunedì: chiuso
martedì: 09:00 - 13:00, 16:00 - 19:00
mercoledì: chiuso
giovedì: 09:00 - 13:00, 16:00 - 19:00
venerdì: chiuso
sabato: 09:00 - 13:00, 16:00 - 19:00
domenica: 10:00 - 13:00</t>
  </si>
  <si>
    <t>Biblioteca per infanzia e famiglie: aree morbide e sale lettura con scaffali aperti, book-sharing; prestito libri, laboratori, narrazioni, eventi; collegata a rete #Barisocialbook.</t>
  </si>
  <si>
    <r>
      <rPr>
        <color rgb="FF434343"/>
        <u/>
      </rPr>
      <t>Progetto Città (Biblioteca Ragazzi)</t>
    </r>
  </si>
  <si>
    <t>41.102069763708506</t>
  </si>
  <si>
    <t>16.87547706961436</t>
  </si>
  <si>
    <t>Biblioteca della Fondazione Puglia</t>
  </si>
  <si>
    <t>Via Venezia 13, 70122 Bari</t>
  </si>
  <si>
    <t>lunedì: chiuso
martedì: chiuso
mercoledì: 10:00 - 13:00
giovedì: chiuso
venerdì: 10:00 - 13:00
sabato: chiuso
domenica: chiuso</t>
  </si>
  <si>
    <t>Biblioteca d’arte e cultura, economia, storia locale; aree di lettura con postazioni; consultazione OPAC online.</t>
  </si>
  <si>
    <r>
      <rPr>
        <color rgb="FF434343"/>
        <u/>
      </rPr>
      <t>Fondazione Puglia</t>
    </r>
  </si>
  <si>
    <t>41.128057165089245</t>
  </si>
  <si>
    <t>16.872569662106905</t>
  </si>
  <si>
    <t>Biblioteca della Soprintendenza Archivistica e Bibliografica della Puglia</t>
  </si>
  <si>
    <t>Strada Sagges 3, 70122 Bari</t>
  </si>
  <si>
    <t>lunedì: 09:00 - 13:00
martedì: 09:00 - 13:00
mercoledì: 09:00 - 13:00
giovedì: 09:00 - 13:00
venerdì: 09:00 - 13:00
sabato: chiuso
domenica: chiuso</t>
  </si>
  <si>
    <t>Consultazione archivistica gratuita (no prestito) solo su appuntamento</t>
  </si>
  <si>
    <t>Soprintendenza Archivistica e Bibliografica della Puglia: La Biblioteca</t>
  </si>
  <si>
    <t>41.1273676419004</t>
  </si>
  <si>
    <t>16.869681896599516</t>
  </si>
  <si>
    <t>Biblioteca dell’Archivio di Stato di Bari</t>
  </si>
  <si>
    <t>Via Pietro Oreste 45, 70123 Bari</t>
  </si>
  <si>
    <t>lunedì: 09:00 - 13:15
martedì: 09:00 - 16:00
mercoledì: 09:00 - 13:15
giovedì: 09:00 - 16:00
venerdì: 09:00 - 13:15
sabato: chiuso
domenica: chiuso</t>
  </si>
  <si>
    <t>Sala di studio libera e gratuita per ricerca storico-documentaria; necessaria prenotazione via email</t>
  </si>
  <si>
    <r>
      <rPr>
        <color rgb="FF434343"/>
        <u/>
      </rPr>
      <t>Archivio di Stato Bari</t>
    </r>
  </si>
  <si>
    <t>41.12885994061356</t>
  </si>
  <si>
    <t>16.84688499659959</t>
  </si>
  <si>
    <t>Biblioteca Nazionale “Sagarriga Visconti Volpi”</t>
  </si>
  <si>
    <t>lunedì: 08:15 - 18:45
martedì: 08:15 - 18:45
mercoledì: 08:15 - 18:45
giovedì: 08:15 - 18:45
venerdì: 08:15 - 13:45
sabato: chiuso
domenica: chiuso</t>
  </si>
  <si>
    <t>Sala di consultazione con Wi-Fi; quotidiani e periodici, mediateca</t>
  </si>
  <si>
    <r>
      <rPr>
        <color rgb="FF434343"/>
        <u/>
      </rPr>
      <t>Bibl. Nazionale Bari</t>
    </r>
  </si>
  <si>
    <t>41.128893491074145</t>
  </si>
  <si>
    <t>16.846334267763524</t>
  </si>
  <si>
    <t>Biblioteca Santa Teresa dei Maschi – De Gemmis</t>
  </si>
  <si>
    <t>Strada Lamberti 3, 70122 Bari</t>
  </si>
  <si>
    <t>lunedì: 08:30 - 14:00, 15:00 - 18:00
martedì: 08:30 - 14:00, 15:00 - 18:00
mercoledì: 08:30 - 14:00, 15:00 - 18:00
giovedì: 08:30 - 14:00, 15:00 - 18:00
venerdì: 08:30 - 14:00
sabato: chiuso
domenica: chiuso</t>
  </si>
  <si>
    <t>Biblioteca storica con fondo antico (70.000 volumi). 2 sale letture (piano terra e primo piano), più un'aula multifunzionale (secondo piano)</t>
  </si>
  <si>
    <t>Città metropolitana di Bari - Biblioteca de Gemmis</t>
  </si>
  <si>
    <t>41.12780310440995</t>
  </si>
  <si>
    <t>16.86987026776357</t>
  </si>
  <si>
    <t>Biblioteca Gaetano Ricchetti</t>
  </si>
  <si>
    <t>Via Sparano 145, 70121 Bari</t>
  </si>
  <si>
    <t>lunedì: 08:30 - 13:30, 16:00 - 18:30
martedì: 08:30 - 13:30, 16:00 - 18:30
mercoledì: 08:30 - 13:30, 16:00 - 18:30
giovedì: 08:30 - 13:30, 16:00 - 18:30
venerdì: 08:30 - 13:30
sabato: chiuso
domenica: chiuso</t>
  </si>
  <si>
    <t>Biblioteca storico-culturale con collezioni di diritto e storia; ambienti di lettura; servizio prestito gratuito</t>
  </si>
  <si>
    <r>
      <rPr>
        <color rgb="FF434343"/>
        <u/>
      </rPr>
      <t>Fondazione G. Ricchetti</t>
    </r>
  </si>
  <si>
    <t>41.11950226621863</t>
  </si>
  <si>
    <t>16.869775781255143</t>
  </si>
  <si>
    <t>Biblioteca Cagnazzi</t>
  </si>
  <si>
    <t>Via Colella, 13 (Municipio 2)</t>
  </si>
  <si>
    <t>lunedì: 09:30 - 12:30, 15:30 - 18:30
martedì: 09:30 - 12:30, 15:30 - 18:30
mercoledì: 09:30 - 12:30, 15:30 - 18:30
giovedì: 09:30 - 12:30, 15:30 - 18:30
venerdì: 09:30 - 12:30, 15:30 - 18:30
sabato: chiuso
domenica: chiuso</t>
  </si>
  <si>
    <t>Sale tematiche con postazioni multimediali (digital room); sala polifunzionale (sala studio) con proiettore a scomparsa e dispositivi audio/video; spazio bambini (angolo morbido con tavolo touch, TV); giardino esterno con arredi modulari.</t>
  </si>
  <si>
    <r>
      <rPr>
        <color rgb="FF434343"/>
        <u/>
      </rPr>
      <t>Biblioteca Cagnazzi</t>
    </r>
  </si>
  <si>
    <t>41.10427655579373</t>
  </si>
  <si>
    <t>16.868800583106488</t>
  </si>
  <si>
    <t>Biblioteca Catino</t>
  </si>
  <si>
    <t>Via dei Narcisi (quartiere Catino)</t>
  </si>
  <si>
    <t>lunedì: 10:00 - 12:00, 16:00 - 19:00
martedì: 10:00 - 12:00, 16:00 - 19:00
mercoledì: 10:00 - 12:00, 16:00 - 19:00
giovedì: 10:00 - 12:00, 16:00 - 19:00
venerdì: 10:00 - 12:00, 16:00 - 19:00
sabato: chiuso
domenica: chiuso</t>
  </si>
  <si>
    <t>Sala di consultazione dotata di PC e attrezzature tecnologiche per laboratori/proiezioni; spazio esterno attrezzato con arredi modulari; biblioteca in struttura “pluriuso” di quartiere.</t>
  </si>
  <si>
    <r>
      <rPr>
        <color rgb="FF434343"/>
        <u/>
      </rPr>
      <t>Biblioteca Catino</t>
    </r>
  </si>
  <si>
    <t>Attualmente segnata come chiusa</t>
  </si>
  <si>
    <t>41.16021131018477</t>
  </si>
  <si>
    <t>16.739382628114807</t>
  </si>
  <si>
    <t>Biblioteca Duse</t>
  </si>
  <si>
    <t xml:space="preserve">Via San Girolamo, 38
</t>
  </si>
  <si>
    <t>lunedì: 09:00 - 14:00
martedì: chiuso
mercoledì: 09:00 - 14:00
giovedì: 14:30 - 19:30
venerdì: 09:00 - 14:00
sabato: chiuso
domenica: 17:30 - 22:30</t>
  </si>
  <si>
    <t>Sala di lettura con materiale cartaceo; sala di consultazione digitale con 8 postazioni PC cablate; ampio cortile e giardino con aree verdi e giochi; spazio per laboratori.</t>
  </si>
  <si>
    <r>
      <rPr>
        <color rgb="FF434343"/>
        <u/>
      </rPr>
      <t>Biblioteca Duse</t>
    </r>
  </si>
  <si>
    <t>41.13632525975827</t>
  </si>
  <si>
    <t>16.815697313795972</t>
  </si>
  <si>
    <t>Biblioteca Iurlo</t>
  </si>
  <si>
    <t>Via L. Gurakuqi, 2</t>
  </si>
  <si>
    <t>lunedì: 09:00 - 13:00
martedì: 09:00 - 13:00
mercoledì: 09:00 - 13:00, 16:00 - 18:00
giovedì: 09:00 - 13:00
venerdì: 09:00 - 12:00
sabato: chiuso
domenica: chiuso</t>
  </si>
  <si>
    <t>Sala lettura dotata di postazioni con dispositivi per consultazione digitale; spazio all’aperto “Outdoor education” (parco pubblico attrezzato).</t>
  </si>
  <si>
    <r>
      <rPr>
        <color rgb="FF434343"/>
        <u/>
      </rPr>
      <t>Biblioteca Iurlo</t>
    </r>
  </si>
  <si>
    <t>41.107347975199545</t>
  </si>
  <si>
    <t>16.894889623582536</t>
  </si>
  <si>
    <t>Biblioteca Lombardi</t>
  </si>
  <si>
    <t>Via Lombardia, 2</t>
  </si>
  <si>
    <t>lunedì: 15:30 - 18:30
martedì: 09:30 - 12:30, 15:30 - 18:30
mercoledì: 09:30 - 12:30, 15:30 - 18:30
giovedì: 09:30 - 12:30, 15:30 - 18:30
venerdì: 15:30 - 18:30
sabato: chiuso
domenica: chiuso</t>
  </si>
  <si>
    <t>Vari spazi di consultazione con postazioni PC e schermi per presentazioni; sala comune centrale con dispositivi informatici; sale riunioni e laboratori artico-culturali; sala danza (piano seminterrato); archivi tematici; servizi igienici su ogni piano.</t>
  </si>
  <si>
    <r>
      <rPr>
        <color rgb="FF434343"/>
        <u/>
      </rPr>
      <t>Biblioteca Lombardi</t>
    </r>
  </si>
  <si>
    <t>41.11979798903981</t>
  </si>
  <si>
    <t>16.789964306387</t>
  </si>
  <si>
    <t>Biblioteca “G. Marconi”</t>
  </si>
  <si>
    <t xml:space="preserve">Via Skanderbeg, 35 </t>
  </si>
  <si>
    <t>lunedì: 16:00 - 18:00
martedì: 16:00 - 19:00
mercoledì: 16:00 - 19:00
giovedì: 09:30 - 12:30, 16:00 - 19:00
venerdì: 16:00 - 19:00
sabato: 09:30 - 12:30
domenica: chiuso</t>
  </si>
  <si>
    <t>Sala consultazione con possibilità di laboratori; sala digitale con PC e attrezzature tecnologiche; uso di ampio cortile e giardino della scuola Marconi per attività all’aperto; area bambini con giochi.</t>
  </si>
  <si>
    <r>
      <rPr>
        <color rgb="FF434343"/>
        <u/>
      </rPr>
      <t>Biblioteca Galassia Marconi</t>
    </r>
  </si>
  <si>
    <t>Ogni primo sabato del mese, la biblioteca Marconi sarà aperta al pubblico in orario serale (dalle 20:00 alle 22:00).</t>
  </si>
  <si>
    <t>41.13734565042882</t>
  </si>
  <si>
    <t>16.843865367763957</t>
  </si>
  <si>
    <t>Biblioteca Maurogiovanni</t>
  </si>
  <si>
    <t>Via Nicola Colonna, 1 (Carbonara)</t>
  </si>
  <si>
    <t>lunedì: 15:30 - 19:30
martedì: 09:00 - 13:00
mercoledì: 15:30 - 19:30
giovedì: 09:00 - 13:00
venerdì: chiuso
sabato: 15:30 - 19:30
domenica: chiuso</t>
  </si>
  <si>
    <t>Sala lettura con dotazioni multimediali: PC, tablet, TV a schermo piatto, totem per consultazione; piccolo spazio esterno dedicato; arredi per attività all’aperto.</t>
  </si>
  <si>
    <r>
      <rPr>
        <color rgb="FF434343"/>
        <u/>
      </rPr>
      <t>Biblioteca Maurogiovanni</t>
    </r>
  </si>
  <si>
    <t>41.07813604700224</t>
  </si>
  <si>
    <t>16.872391511941267</t>
  </si>
  <si>
    <t>Biblioteca Don Bosco</t>
  </si>
  <si>
    <t>Via Martiri d’Otranto, 69</t>
  </si>
  <si>
    <t>lunedì: 09:00 - 13:00, 15:00 - 19:00
martedì: 09:00 - 13:00, 15:00 - 19:00
mercoledì: 09:00 - 13:00, 15:00 - 19:00
giovedì: 09:00 - 13:00, 15:00 - 19:00
venerdì: 09:00 - 13:00, 15:00 - 19:00
sabato: 09:00 - 13:00
domenica: chiuso</t>
  </si>
  <si>
    <t>Sala Don Bosco (piano terra) ampia (50 posti) con reference; 8 PC per consultazione digitale; sezione ragazzi con libri bambini e bisogni speciali; sala Florio per conferenze (piano interrato); varie sale studio e emeroteca (primo piano); spazio esterno con arredi modulari e giardino/orto didattico.</t>
  </si>
  <si>
    <r>
      <rPr>
        <color rgb="FF434343"/>
        <u/>
      </rPr>
      <t>Biblioteca Don Bosco</t>
    </r>
  </si>
  <si>
    <t>41.11809510152403</t>
  </si>
  <si>
    <t>16.85523558086353</t>
  </si>
  <si>
    <t>Teca del Mediterraneo</t>
  </si>
  <si>
    <t>Via Gentile, 52, 70126 - Bari</t>
  </si>
  <si>
    <t>lunedì: 09:00 - 18:30
martedì: 09:00 - 18:30
mercoledì: 09:00 - 18:30
giovedì: 09:00 - 18:30
venerdì: 09:00 - 18:30
sabato: chiuso
domenica: chiuso</t>
  </si>
  <si>
    <t>E' dotata di un patrimonio di circa 47.000 documenti; specializzata nei profili tematici della pubblica amministrazione, diritto, economia e finanza, politiche pubbliche, organizzazione e management. È possibile navigare gratuitamente per un’ora al giorno.</t>
  </si>
  <si>
    <t>Per poter usufruire dei servizi occorre iscriversi compilando un modulo di iscrizione accompagnato da un documento  d’identità in corso di validità.</t>
  </si>
  <si>
    <t>Aquarius Biblioteca di comunità</t>
  </si>
  <si>
    <t>Giardino Via Siponto, Bari</t>
  </si>
  <si>
    <t>lunedì: 09:00 - 13:00, 15:00 - 19:00
martedì: 09:30 - 12:30, 15:00 - 18:00
mercoledì: 09:30 - 12:30, 15:00 - 18:00
giovedì: 09:30 - 12:30, 15:00 - 18:00
venerdì:09:30 - 12:30, 15:00 - 18:00
sabato: 10:00 - 13:00
domenica: chiuso</t>
  </si>
  <si>
    <t>Organizza eventi per tutte le età</t>
  </si>
  <si>
    <t>Aquarius - Biblioteca di Comunità | Bari</t>
  </si>
  <si>
    <t>Biblioteca di Scienze Statistiche</t>
  </si>
  <si>
    <t>Economia</t>
  </si>
  <si>
    <t>Largo Abbazia Santa Scolastica, 53</t>
  </si>
  <si>
    <t>lunedì: 09:00 - 16:45
martedì: 09:00 - 16:45
mercoledì: 09:00 - 16:45
giovedì: 09:00 - 16:45
venerdì: 09:00 - 13:00
sabato: chiuso
domenica: chiuso</t>
  </si>
  <si>
    <t>Biblioteca di Diritto Privato</t>
  </si>
  <si>
    <t>La sala lettura della Biblioteca di Diritto Privato è temporaneamente chiusa. Per i servizi di consultazione, prestito e informazioni bibliografiche scrivere all'indirizzo; biblioteca.economia2@uniba.it</t>
  </si>
  <si>
    <t>Biblioteca di Scienze Geografiche</t>
  </si>
  <si>
    <t>lunedì: 09:00 - 13:00
martedì: 09:00 - 13:00
mercoledì: chiuso
giovedì: 09:00 - 13:00
venerdì: 09:00 - 13:00
sabato: chiuso
domenica: chiuso</t>
  </si>
  <si>
    <t>2° piano</t>
  </si>
  <si>
    <t>Biblioteca di Storia Economica</t>
  </si>
  <si>
    <t>lunedì: 09:00 - 13:00
martedì: 09:00 - 13:00
mercoledì: 09:00 - 13:00
giovedì: 09:00 - 13:00
venerdì: chiuso
sabato: chiuso
domenica: chiuso</t>
  </si>
  <si>
    <t>6° piano</t>
  </si>
  <si>
    <t>Biblioteca di Studi Aziendali</t>
  </si>
  <si>
    <t>lunedì: 09:00 - 16:30
martedì: 09:00 - 16:30
mercoledì: 09:00 - 16:30
giovedì: 09:00 - 16:30
venerdì: 09:00 - 16:30
sabato: chiuso
domenica: chiuso</t>
  </si>
  <si>
    <t>Biblioteca di Studi Merceologici</t>
  </si>
  <si>
    <t>Biblioteca di Diritto Pubblico “Carlo Lavagna”</t>
  </si>
  <si>
    <t>lunedì: 09:00 - 13:00
martedì: 09:00 - 13:00
mercoledì:09:00 - 13:00
giovedì: 09:00 - 13:00
venerdì: 09:00 - 13:00
sabato: chiuso
domenica: chiuso</t>
  </si>
  <si>
    <t>Biblioteca di Scienze Economiche e Metodi Matematici</t>
  </si>
  <si>
    <t>Libertà: giardini Piazza Umberto</t>
  </si>
  <si>
    <t>Parchi</t>
  </si>
  <si>
    <t>Giardini di Piazza Umberto I, Piazza Umberto I, 27, 70121 Bari BA</t>
  </si>
  <si>
    <t>Sempre aperto</t>
  </si>
  <si>
    <t>Area giochi bambini, passeggio, luogo di passaggio poichè vicino stazione e uni</t>
  </si>
  <si>
    <t>/</t>
  </si>
  <si>
    <t>https://maps.app.goo.gl/oQZt92jWadbGoJvW6</t>
  </si>
  <si>
    <t>41.120762765048255</t>
  </si>
  <si>
    <t>16.86995201385369</t>
  </si>
  <si>
    <t>Madonella: Giardini Baden Powell</t>
  </si>
  <si>
    <t>Giardino</t>
  </si>
  <si>
    <t>Giardini Baden Powell, Piazza Antonio Gramsci, 3, 70126 Bari BA</t>
  </si>
  <si>
    <t>Area giochi bambini, passeggio, luogo di incontro</t>
  </si>
  <si>
    <t>https://maps.app.goo.gl/M1VhwvMaxYpcvmE39</t>
  </si>
  <si>
    <t>41.11893557894624</t>
  </si>
  <si>
    <t>16.888659723203848</t>
  </si>
  <si>
    <t>Torre a Mare</t>
  </si>
  <si>
    <t>Parco per tutti, Via di Torre a mare Mazzini Giuseppe, 70126 Bari BA</t>
  </si>
  <si>
    <t>Area giochi, passeggio, possibile luogo per eventi</t>
  </si>
  <si>
    <t>https://maps.app.goo.gl/W4S6zUtmNviN9ziPA</t>
  </si>
  <si>
    <t>41.08725394470384</t>
  </si>
  <si>
    <t>16.997912951213927</t>
  </si>
  <si>
    <t>Libertà: Giardino Garibaldi</t>
  </si>
  <si>
    <t>Giardino Garibaldi, Piazza G. Garibaldi, 70122 Bari BA</t>
  </si>
  <si>
    <t>8-22</t>
  </si>
  <si>
    <t xml:space="preserve">Passeggio, ritrovo </t>
  </si>
  <si>
    <t>https://maps.app.goo.gl/kjByWuGpku9KLU9H7</t>
  </si>
  <si>
    <t>41.12565508450279</t>
  </si>
  <si>
    <t>16.86187643322809</t>
  </si>
  <si>
    <t>Parco 2 Giugno</t>
  </si>
  <si>
    <t>Viale della Resistenza</t>
  </si>
  <si>
    <t>bar, aree cani, percorsi sportivi, pattinaggio</t>
  </si>
  <si>
    <t>https://maps.google.com/?cid=12721404774673949505&amp;g_mp=Cidnb29nbGUubWFwcy5wbGFjZXMudjEuUGxhY2VzLlNlYXJjaFRleHQ</t>
  </si>
  <si>
    <t>41.102577303181334</t>
  </si>
  <si>
    <t>16.874796522091003</t>
  </si>
  <si>
    <t>Parco Giovanni Paolo II (o Parco della Rinascita)</t>
  </si>
  <si>
    <t>Viale Europa</t>
  </si>
  <si>
    <t>con orari variabili</t>
  </si>
  <si>
    <t>Campi sportivi (basket, calcetto). area giochi; pista pattinaggio; anfiteatro</t>
  </si>
  <si>
    <t>https://maps.google.com/?cid=16101383816348396796&amp;g_mp=Cidnb29nbGUubWFwcy5wbGFjZXMudjEuUGxhY2VzLlNlYXJjaFRleHQ</t>
  </si>
  <si>
    <t>41.12400279729843</t>
  </si>
  <si>
    <t>16.797903220266967</t>
  </si>
  <si>
    <t>Pineta di San Francesco</t>
  </si>
  <si>
    <t>Viale Ottorino Respighi</t>
  </si>
  <si>
    <t>area picnic</t>
  </si>
  <si>
    <t>https://maps.google.com/?cid=8410945282691483378&amp;g_mp=Cidnb29nbGUubWFwcy5wbGFjZXMudjEuUGxhY2VzLlNlYXJjaFRleHQ</t>
  </si>
  <si>
    <t>41.133818947347415</t>
  </si>
  <si>
    <t>16.83123874909271</t>
  </si>
  <si>
    <t>Parco Naturale Regionale Lama Balice</t>
  </si>
  <si>
    <t>Accesso da Via Burgese / SP54</t>
  </si>
  <si>
    <t>osservazione flora e fauna. masserie storiche.</t>
  </si>
  <si>
    <t>https://maps.google.com/?cid=11128455437848677266&amp;g_mp=Cidnb29nbGUubWFwcy5wbGFjZXMudjEuUGxhY2VzLlNlYXJjaFRleHQ</t>
  </si>
  <si>
    <t>41.123040220974346</t>
  </si>
  <si>
    <t>16.76556503468207</t>
  </si>
  <si>
    <t>Giardino De Bellis</t>
  </si>
  <si>
    <t>Piazza Risorgimento</t>
  </si>
  <si>
    <t>https://maps.google.com/?cid=15995961425467749851&amp;g_mp=Cidnb29nbGUubWFwcy5wbGFjZXMudjEuUGxhY2VzLlNlYXJjaFRleHQ</t>
  </si>
  <si>
    <t>41.112986907024315</t>
  </si>
  <si>
    <t>16.873372193269454</t>
  </si>
  <si>
    <t>Campetto Oratorio Redentore (Don Bosco)</t>
  </si>
  <si>
    <t>Campetto</t>
  </si>
  <si>
    <t>Via Martiri D'Otranto</t>
  </si>
  <si>
    <t>https://maps.google.com/?cid=11783196006490824121&amp;g_mp=Cidnb29nbGUubWFwcy5wbGFjZXMudjEuUGxhY2VzLlNlYXJjaFRleHQ</t>
  </si>
  <si>
    <t>41.119112601328425</t>
  </si>
  <si>
    <t>16.855222308610756</t>
  </si>
  <si>
    <t>Parco Don Tonino Bello</t>
  </si>
  <si>
    <t>Via G. Petroni / Via Martin L. King</t>
  </si>
  <si>
    <t>attrezzature fitness e panchine.</t>
  </si>
  <si>
    <t>https://maps.google.com/?cid=14366176422774870344&amp;g_mp=Cidnb29nbGUubWFwcy5wbGFjZXMudjEuUGxhY2VzLlNlYXJjaFRleHQ</t>
  </si>
  <si>
    <t>41.09972519712747</t>
  </si>
  <si>
    <t>16.866203689303063</t>
  </si>
  <si>
    <t>Giardino Giacomo Princigalli</t>
  </si>
  <si>
    <t>Via Ignazio Lojacono</t>
  </si>
  <si>
    <t>panchine e giochi per bambini.</t>
  </si>
  <si>
    <t>https://maps.google.com/?cid=14147160645530922865&amp;g_mp=Cidnb29nbGUubWFwcy5wbGFjZXMudjEuUGxhY2VzLlNlYXJjaFRleHQ</t>
  </si>
  <si>
    <t>41.09022178977358</t>
  </si>
  <si>
    <t>16.888259906757558</t>
  </si>
  <si>
    <t>Parco Sabino Annoscia</t>
  </si>
  <si>
    <t>Via Tenente Cesare Suglia</t>
  </si>
  <si>
    <t>panchine e percorso pedonale</t>
  </si>
  <si>
    <t>https://maps.google.com/?cid=9727678549361169649&amp;g_mp=Cidnb29nbGUubWFwcy5wbGFjZXMudjEuUGxhY2VzLlNlYXJjaFRleHQ</t>
  </si>
  <si>
    <t>41.101353432412004</t>
  </si>
  <si>
    <t>16.916867586668296</t>
  </si>
  <si>
    <t>Parco Troisi</t>
  </si>
  <si>
    <t>Via Michele Troisi</t>
  </si>
  <si>
    <t>spazi verdi</t>
  </si>
  <si>
    <t>https://maps.google.com/?cid=8672478905160561591&amp;g_mp=Cidnb29nbGUubWFwcy5wbGFjZXMudjEuUGxhY2VzLlNlYXJjaFRleHQ</t>
  </si>
  <si>
    <t>41.10492079489471</t>
  </si>
  <si>
    <t>16.915450379777646</t>
  </si>
  <si>
    <t>Giardino Riccardo Cucciolla</t>
  </si>
  <si>
    <t>Via Caldarola</t>
  </si>
  <si>
    <t>area giochi.</t>
  </si>
  <si>
    <t>https://maps.google.com/?cid=8853850623400526909&amp;g_mp=Cidnb29nbGUubWFwcy5wbGFjZXMudjEuUGxhY2VzLlNlYXJjaFRleHQ</t>
  </si>
  <si>
    <t>41.10540486253061</t>
  </si>
  <si>
    <t>16.899606264412455</t>
  </si>
  <si>
    <t>Campetto Ipercoop Japigia</t>
  </si>
  <si>
    <t>Via Natale Loiacono</t>
  </si>
  <si>
    <t>campo da calcio vicino la chiesa e attrezzi sopra l'ipercoop</t>
  </si>
  <si>
    <t>https://maps.app.goo.gl/AuM5BnPHbqzB6uPN9</t>
  </si>
  <si>
    <t>41.104036732894265</t>
  </si>
  <si>
    <t>16.910887152679148</t>
  </si>
  <si>
    <t>Waterfront di San Girolamo - Fesca</t>
  </si>
  <si>
    <t>Informali</t>
  </si>
  <si>
    <t>Lungomare IX Maggio</t>
  </si>
  <si>
    <t>aree verdi. accesso spiaggia e attrezzature fitness.</t>
  </si>
  <si>
    <t>https://maps.google.com/?cid=1824953619132730227&amp;g_mp=Cidnb29nbGUubWFwcy5wbGFjZXMudjEuUGxhY2VzLlNlYXJjaFRleHQ</t>
  </si>
  <si>
    <t>41.13917066037607</t>
  </si>
  <si>
    <t>16.818010479779016</t>
  </si>
  <si>
    <t>Parco della Legalità</t>
  </si>
  <si>
    <t>Via Antonio Lanave</t>
  </si>
  <si>
    <t>sempre aperto</t>
  </si>
  <si>
    <t>piccolo anfiteatro.</t>
  </si>
  <si>
    <t>https://maps.google.com/?cid=13125054945060631636&amp;g_mp=Cidnb29nbGUubWFwcy5wbGFjZXMudjEuUGxhY2VzLlNlYXJjaFRleHQ</t>
  </si>
  <si>
    <t>41.123642821371156</t>
  </si>
  <si>
    <t>16.79064509219313</t>
  </si>
  <si>
    <t>Lungomare di Santo Spirito</t>
  </si>
  <si>
    <t>Lungomare Cristoforo Colombo</t>
  </si>
  <si>
    <t>piccole aiuole e accesso al porticciolo.</t>
  </si>
  <si>
    <t>https://maps.google.com/?cid=9325357928700172195&amp;g_mp=Cidnb29nbGUubWFwcy5wbGFjZXMudjEuUGxhY2VzLlNlYXJjaFRleHQ</t>
  </si>
  <si>
    <t>41.16349485485067</t>
  </si>
  <si>
    <t>16.750269179762707</t>
  </si>
  <si>
    <t>Campo Sportivo Comunale "G. Lovero"</t>
  </si>
  <si>
    <t>Via Tenente Leonardo Ranieri</t>
  </si>
  <si>
    <t>campo da calcio comunale</t>
  </si>
  <si>
    <t>https://maps.app.goo.gl/NdEKEe18dNzPn6FBA</t>
  </si>
  <si>
    <t>41.154709029760404</t>
  </si>
  <si>
    <t>16.762751013977812</t>
  </si>
  <si>
    <t>Piazza di Carbonara Umberto I</t>
  </si>
  <si>
    <t>Via Ospedale di Venere</t>
  </si>
  <si>
    <t>https://maps.app.goo.gl/m2Mi8J66wLJhymbD6</t>
  </si>
  <si>
    <t>41.074021752324164</t>
  </si>
  <si>
    <t>16.870432630039385</t>
  </si>
  <si>
    <t>Giardino Monica Dal Maso</t>
  </si>
  <si>
    <t>V.le John F. Kennedy, 85</t>
  </si>
  <si>
    <t>https://maps.app.goo.gl/wGzMSd1jP3rvuYhd6</t>
  </si>
  <si>
    <t>41.10101626558121</t>
  </si>
  <si>
    <t>16.86231108465588</t>
  </si>
  <si>
    <t>Giardino Rita Levi Montalcini</t>
  </si>
  <si>
    <t>Via G. Petroni, 134</t>
  </si>
  <si>
    <t>https://maps.app.goo.gl/2vdug8MnauTUuuKd8</t>
  </si>
  <si>
    <t>41.0851020497208</t>
  </si>
  <si>
    <t>16.864466411946925</t>
  </si>
  <si>
    <t>Giardino "Fabrizio de André"</t>
  </si>
  <si>
    <t>Molo S. Nicola, 6</t>
  </si>
  <si>
    <t>https://maps.app.goo.gl/4bkS8M9jsG8dNNNs6</t>
  </si>
  <si>
    <t>41.125335911771536</t>
  </si>
  <si>
    <t>16.87414652074216</t>
  </si>
  <si>
    <t>Piazzetta dei Papi</t>
  </si>
  <si>
    <t>V.le del Concilio Vaticano II</t>
  </si>
  <si>
    <t>Giochi per bambini e panchine</t>
  </si>
  <si>
    <t>https://maps.app.goo.gl/cbJ6uWqpcpXed8Hk7</t>
  </si>
  <si>
    <t>41.103952906245915</t>
  </si>
  <si>
    <t>16.864953857672056</t>
  </si>
  <si>
    <t>Tombstoned skatepark</t>
  </si>
  <si>
    <t>Area giochi</t>
  </si>
  <si>
    <t>Via Nazariantz Hrand</t>
  </si>
  <si>
    <t>Campo da basket e skatepark</t>
  </si>
  <si>
    <t>https://maps.app.goo.gl/fXhR5tg52L9StZsu5</t>
  </si>
  <si>
    <t>41.12106130440258</t>
  </si>
  <si>
    <t>16.84814237057563</t>
  </si>
  <si>
    <t>Parco Maria Maugeri</t>
  </si>
  <si>
    <t>Via Michele Fiorino, 40C</t>
  </si>
  <si>
    <t>https://maps.app.goo.gl/46fZAUowafNstUbb9</t>
  </si>
  <si>
    <t>41.126239306273725</t>
  </si>
  <si>
    <t>16.854813325279213</t>
  </si>
  <si>
    <t>Giardini Isabella d'Aragona</t>
  </si>
  <si>
    <t>Piazza Giuseppe Massari</t>
  </si>
  <si>
    <t>https://maps.app.goo.gl/VbqVz432BNGvR2oD9</t>
  </si>
  <si>
    <t>41.128143259533104</t>
  </si>
  <si>
    <t>16.865493726164466</t>
  </si>
  <si>
    <t>Giardino Ciccio Mucciaccia</t>
  </si>
  <si>
    <t>Piazza Armando Diaz, 51</t>
  </si>
  <si>
    <t>https://maps.app.goo.gl/thiUp2xQkcAE6HFAA</t>
  </si>
  <si>
    <t>41.12224731187762</t>
  </si>
  <si>
    <t>16.87916480299017</t>
  </si>
  <si>
    <t>Parco Perotti</t>
  </si>
  <si>
    <t>Lungomare Trieste, 1</t>
  </si>
  <si>
    <t>https://maps.app.goo.gl/jFLW6qBZGu19ohD18</t>
  </si>
  <si>
    <t>41.115521183088795</t>
  </si>
  <si>
    <t>16.900064109836265</t>
  </si>
  <si>
    <t>Parco Gentile</t>
  </si>
  <si>
    <t>Via Giovanni Gentile, 63</t>
  </si>
  <si>
    <t>https://maps.app.goo.gl/mnuxoejFzz1kC6gB6</t>
  </si>
  <si>
    <t>41.10417781219541</t>
  </si>
  <si>
    <t>16.920571728836073</t>
  </si>
  <si>
    <t>Parco Green Mission - Quartiere Santa Rita</t>
  </si>
  <si>
    <t>Ceglie</t>
  </si>
  <si>
    <t>https://maps.app.goo.gl/Ka8NRUo21huVwFvn7</t>
  </si>
  <si>
    <t>41.06798433789674</t>
  </si>
  <si>
    <t>16.856929522257648</t>
  </si>
</sst>
</file>

<file path=xl/styles.xml><?xml version="1.0" encoding="utf-8"?>
<styleSheet xmlns="http://schemas.openxmlformats.org/spreadsheetml/2006/main" xmlns:x14ac="http://schemas.microsoft.com/office/spreadsheetml/2009/9/ac" xmlns:mc="http://schemas.openxmlformats.org/markup-compatibility/2006">
  <fonts count="57">
    <font>
      <sz val="10.0"/>
      <color rgb="FF000000"/>
      <name val="Arial"/>
      <scheme val="minor"/>
    </font>
    <font>
      <sz val="10.0"/>
      <color theme="1"/>
      <name val="Roboto"/>
    </font>
    <font>
      <color theme="1"/>
      <name val="Arial"/>
      <scheme val="minor"/>
    </font>
    <font>
      <sz val="10.0"/>
      <color rgb="FF000000"/>
      <name val="Roboto"/>
    </font>
    <font>
      <u/>
      <sz val="10.0"/>
      <color rgb="FF000000"/>
      <name val="Roboto"/>
    </font>
    <font>
      <u/>
      <color rgb="FF0000FF"/>
      <name val="Roboto"/>
    </font>
    <font>
      <u/>
      <sz val="10.0"/>
      <color rgb="FF000000"/>
      <name val="Roboto"/>
    </font>
    <font>
      <u/>
      <color rgb="FF434343"/>
      <name val="Roboto"/>
    </font>
    <font>
      <u/>
      <sz val="10.0"/>
      <color rgb="FF000000"/>
      <name val="Roboto"/>
    </font>
    <font>
      <u/>
      <sz val="10.0"/>
      <color rgb="FF000000"/>
      <name val="Roboto"/>
    </font>
    <font>
      <u/>
      <sz val="10.0"/>
      <color rgb="FF000000"/>
      <name val="Roboto"/>
    </font>
    <font>
      <sz val="10.0"/>
      <color rgb="FFFFFFFF"/>
      <name val="Roboto"/>
    </font>
    <font>
      <b/>
      <sz val="10.0"/>
      <color rgb="FF434343"/>
      <name val="Roboto"/>
    </font>
    <font>
      <u/>
      <sz val="10.0"/>
      <color rgb="FF434343"/>
      <name val="Roboto"/>
    </font>
    <font>
      <u/>
      <sz val="10.0"/>
      <color rgb="FF434343"/>
      <name val="Roboto"/>
    </font>
    <font>
      <b/>
      <sz val="10.0"/>
      <color theme="1"/>
      <name val="Roboto"/>
    </font>
    <font>
      <u/>
      <sz val="10.0"/>
      <color rgb="FF434343"/>
      <name val="Roboto"/>
    </font>
    <font>
      <u/>
      <sz val="10.0"/>
      <color rgb="FF434343"/>
      <name val="Roboto"/>
    </font>
    <font>
      <color rgb="FF434343"/>
      <name val="Arial"/>
      <scheme val="minor"/>
    </font>
    <font>
      <sz val="10.0"/>
      <color rgb="FF434343"/>
      <name val="Roboto"/>
    </font>
    <font>
      <u/>
      <sz val="10.0"/>
      <color rgb="FF434343"/>
      <name val="Roboto"/>
    </font>
    <font>
      <u/>
      <sz val="10.0"/>
      <color rgb="FF434343"/>
      <name val="Roboto"/>
    </font>
    <font>
      <u/>
      <sz val="10.0"/>
      <color rgb="FF434343"/>
      <name val="Roboto"/>
    </font>
    <font>
      <sz val="10.0"/>
      <color rgb="FF1C2024"/>
      <name val="Roboto"/>
    </font>
    <font>
      <b/>
      <u/>
      <sz val="11.0"/>
      <color rgb="FF767676"/>
      <name val="Arial"/>
    </font>
    <font>
      <b/>
      <sz val="10.0"/>
      <color rgb="FF000000"/>
      <name val="Roboto"/>
    </font>
    <font>
      <i/>
      <sz val="10.0"/>
      <color rgb="FF000000"/>
      <name val="Roboto"/>
    </font>
    <font>
      <color rgb="FF5E5E5E"/>
      <name val="&quot;Google Sans&quot;"/>
    </font>
    <font>
      <u/>
      <color rgb="FF0000FF"/>
      <name val="Roboto"/>
    </font>
    <font>
      <u/>
      <sz val="11.0"/>
      <color rgb="FF0000FF"/>
      <name val="Calibri"/>
    </font>
    <font>
      <u/>
      <color rgb="FF434343"/>
      <name val="Roboto"/>
    </font>
    <font>
      <u/>
      <color rgb="FF434343"/>
      <name val="Roboto"/>
    </font>
    <font>
      <u/>
      <color rgb="FF0000FF"/>
      <name val="Roboto"/>
    </font>
    <font>
      <color rgb="FF000000"/>
      <name val="Arial"/>
      <scheme val="minor"/>
    </font>
    <font>
      <u/>
      <sz val="10.0"/>
      <color rgb="FF0000FF"/>
      <name val="Roboto"/>
    </font>
    <font>
      <sz val="10.0"/>
      <color theme="1"/>
      <name val="Arial"/>
      <scheme val="minor"/>
    </font>
    <font>
      <color theme="1"/>
      <name val="Roboto"/>
    </font>
    <font>
      <color rgb="FF215A6C"/>
      <name val="Roboto"/>
    </font>
    <font>
      <color rgb="FF434343"/>
      <name val="Roboto"/>
    </font>
    <font>
      <color theme="1"/>
      <name val="Arial"/>
    </font>
    <font>
      <b/>
      <color theme="1"/>
      <name val="Arial"/>
      <scheme val="minor"/>
    </font>
    <font>
      <sz val="11.0"/>
      <color theme="1"/>
      <name val="Calibri"/>
    </font>
    <font>
      <sz val="12.0"/>
      <color rgb="FF1C2024"/>
      <name val="&quot;Titillium Web&quot;"/>
    </font>
    <font>
      <b/>
      <color rgb="FF434343"/>
      <name val="Roboto"/>
    </font>
    <font>
      <color rgb="FFB10202"/>
      <name val="Roboto"/>
    </font>
    <font>
      <u/>
      <color rgb="FF434343"/>
      <name val="Roboto"/>
    </font>
    <font>
      <color rgb="FF5A3286"/>
      <name val="Roboto"/>
    </font>
    <font>
      <u/>
      <color rgb="FF434343"/>
      <name val="Roboto"/>
    </font>
    <font>
      <b/>
      <sz val="11.0"/>
      <color rgb="FF434343"/>
      <name val="Calibri"/>
    </font>
    <font>
      <color rgb="FF473821"/>
      <name val="Roboto"/>
    </font>
    <font>
      <color rgb="FF11734B"/>
      <name val="Roboto"/>
    </font>
    <font>
      <u/>
      <color rgb="FF434343"/>
      <name val="Roboto"/>
    </font>
    <font>
      <u/>
      <color rgb="FF434343"/>
      <name val="Roboto"/>
    </font>
    <font>
      <color rgb="FF0A53A8"/>
      <name val="Roboto"/>
    </font>
    <font>
      <u/>
      <color rgb="FF434343"/>
      <name val="Roboto"/>
    </font>
    <font>
      <u/>
      <color rgb="FF434343"/>
      <name val="Roboto"/>
    </font>
    <font>
      <u/>
      <color rgb="FF0000FF"/>
      <name val="Roboto"/>
    </font>
  </fonts>
  <fills count="5">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6F8F9"/>
        <bgColor rgb="FFF6F8F9"/>
      </patternFill>
    </fill>
  </fills>
  <borders count="9">
    <border/>
    <border>
      <left style="thin">
        <color rgb="FF8C352D"/>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8C352D"/>
      </right>
      <top style="thin">
        <color rgb="FFD9D9D9"/>
      </top>
      <bottom style="thin">
        <color rgb="FFD9D9D9"/>
      </bottom>
    </border>
    <border>
      <left style="thin">
        <color rgb="FF284E3F"/>
      </left>
      <right style="thin">
        <color rgb="FFD9D9D9"/>
      </right>
      <top style="thin">
        <color rgb="FFD9D9D9"/>
      </top>
      <bottom style="thin">
        <color rgb="FFD9D9D9"/>
      </bottom>
    </border>
    <border>
      <left style="thin">
        <color rgb="FFD9D9D9"/>
      </left>
      <right style="thin">
        <color rgb="FF284E3F"/>
      </right>
      <top style="thin">
        <color rgb="FFD9D9D9"/>
      </top>
      <bottom style="thin">
        <color rgb="FFD9D9D9"/>
      </bottom>
    </border>
    <border>
      <left style="thin">
        <color rgb="FF284E3F"/>
      </left>
      <right style="thin">
        <color rgb="FFD9D9D9"/>
      </right>
      <top style="thin">
        <color rgb="FFD9D9D9"/>
      </top>
      <bottom style="thin">
        <color rgb="FF284E3F"/>
      </bottom>
    </border>
    <border>
      <left style="thin">
        <color rgb="FFD9D9D9"/>
      </left>
      <right style="thin">
        <color rgb="FFD9D9D9"/>
      </right>
      <top style="thin">
        <color rgb="FFD9D9D9"/>
      </top>
      <bottom style="thin">
        <color rgb="FF284E3F"/>
      </bottom>
    </border>
    <border>
      <left style="thin">
        <color rgb="FFD9D9D9"/>
      </left>
      <right style="thin">
        <color rgb="FF284E3F"/>
      </right>
      <top style="thin">
        <color rgb="FFD9D9D9"/>
      </top>
      <bottom style="thin">
        <color rgb="FF284E3F"/>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49" xfId="0" applyAlignment="1" applyFont="1" applyNumberFormat="1">
      <alignment readingOrder="0" shrinkToFit="0" vertical="center" wrapText="1"/>
    </xf>
    <xf borderId="0" fillId="0" fontId="5" numFmtId="0" xfId="0" applyAlignment="1" applyFont="1">
      <alignment readingOrder="0" shrinkToFit="0" vertical="center" wrapText="0"/>
    </xf>
    <xf borderId="0" fillId="0"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6"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7" numFmtId="0" xfId="0" applyAlignment="1" applyFont="1">
      <alignment readingOrder="0" shrinkToFit="0" vertical="center" wrapText="0"/>
    </xf>
    <xf borderId="0" fillId="0" fontId="8" numFmtId="0" xfId="0" applyAlignment="1" applyFont="1">
      <alignment readingOrder="0" shrinkToFit="0" vertical="center" wrapText="1"/>
    </xf>
    <xf borderId="0" fillId="0" fontId="9"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49" xfId="0" applyAlignment="1" applyFont="1" applyNumberFormat="1">
      <alignment readingOrder="0" shrinkToFit="0" vertical="center" wrapText="1"/>
    </xf>
    <xf borderId="0" fillId="0" fontId="10" numFmtId="0" xfId="0" applyAlignment="1" applyFont="1">
      <alignment readingOrder="0" shrinkToFit="0" vertical="center" wrapText="1"/>
    </xf>
    <xf borderId="0" fillId="0" fontId="1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2" fontId="12" numFmtId="0" xfId="0" applyAlignment="1" applyFill="1" applyFont="1">
      <alignment readingOrder="0" shrinkToFit="0" vertical="center" wrapText="1"/>
    </xf>
    <xf borderId="0" fillId="2" fontId="1" numFmtId="0" xfId="0" applyAlignment="1" applyFont="1">
      <alignment readingOrder="0" shrinkToFit="0" vertical="center" wrapText="1"/>
    </xf>
    <xf borderId="0" fillId="2" fontId="13" numFmtId="0" xfId="0" applyAlignment="1" applyFont="1">
      <alignment readingOrder="0" shrinkToFit="0" vertical="center" wrapText="1"/>
    </xf>
    <xf borderId="0" fillId="2" fontId="2" numFmtId="0" xfId="0" applyAlignment="1" applyFont="1">
      <alignment readingOrder="0" shrinkToFit="0" vertical="center" wrapText="1"/>
    </xf>
    <xf borderId="0" fillId="2" fontId="1" numFmtId="0" xfId="0" applyAlignment="1" applyFont="1">
      <alignment readingOrder="0" shrinkToFit="0" vertical="center" wrapText="1"/>
    </xf>
    <xf borderId="0" fillId="2" fontId="1" numFmtId="0" xfId="0" applyAlignment="1" applyFont="1">
      <alignment horizontal="left" readingOrder="0" shrinkToFit="0" vertical="center" wrapText="1"/>
    </xf>
    <xf borderId="0" fillId="2" fontId="14" numFmtId="0" xfId="0" applyAlignment="1" applyFont="1">
      <alignment readingOrder="0" shrinkToFit="0" vertical="center" wrapText="1"/>
    </xf>
    <xf borderId="0" fillId="2" fontId="1" numFmtId="0" xfId="0" applyAlignment="1" applyFont="1">
      <alignment shrinkToFit="0" vertical="center" wrapText="1"/>
    </xf>
    <xf borderId="0" fillId="2" fontId="1" numFmtId="49" xfId="0" applyAlignment="1" applyFont="1" applyNumberFormat="1">
      <alignment readingOrder="0" shrinkToFit="0" vertical="center" wrapText="1"/>
    </xf>
    <xf borderId="0" fillId="0" fontId="15" numFmtId="0" xfId="0" applyAlignment="1" applyFont="1">
      <alignment readingOrder="0" shrinkToFit="0" vertical="center" wrapText="1"/>
    </xf>
    <xf borderId="0" fillId="0" fontId="16"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7" numFmtId="0" xfId="0" applyAlignment="1" applyFont="1">
      <alignment readingOrder="0" shrinkToFit="0" vertical="center" wrapText="1"/>
    </xf>
    <xf borderId="0" fillId="0" fontId="1" numFmtId="0" xfId="0" applyAlignment="1" applyFont="1">
      <alignment shrinkToFit="0" vertical="center" wrapText="1"/>
    </xf>
    <xf borderId="0" fillId="0" fontId="1" numFmtId="49" xfId="0" applyAlignment="1" applyFont="1" applyNumberFormat="1">
      <alignment readingOrder="0" shrinkToFit="0" vertical="center" wrapText="1"/>
    </xf>
    <xf borderId="0" fillId="0" fontId="15" numFmtId="0" xfId="0" applyAlignment="1" applyFont="1">
      <alignment readingOrder="0" shrinkToFit="0" vertical="center" wrapText="1"/>
    </xf>
    <xf borderId="0" fillId="0" fontId="18" numFmtId="0" xfId="0" applyAlignment="1" applyFont="1">
      <alignment shrinkToFit="0" vertical="center" wrapText="0"/>
    </xf>
    <xf borderId="0" fillId="0" fontId="19" numFmtId="49" xfId="0" applyAlignment="1" applyFont="1" applyNumberFormat="1">
      <alignment readingOrder="0" shrinkToFit="0" vertical="center" wrapText="1"/>
    </xf>
    <xf borderId="0" fillId="0" fontId="20"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21" numFmtId="0" xfId="0" applyAlignment="1" applyFont="1">
      <alignment readingOrder="0" shrinkToFit="0" vertical="center" wrapText="1"/>
    </xf>
    <xf borderId="0" fillId="3" fontId="22" numFmtId="0" xfId="0" applyAlignment="1" applyFill="1" applyFont="1">
      <alignment readingOrder="0" shrinkToFit="0" vertical="center" wrapText="1"/>
    </xf>
    <xf borderId="0" fillId="3" fontId="23" numFmtId="0" xfId="0" applyAlignment="1" applyFont="1">
      <alignment horizontal="left" readingOrder="0" shrinkToFit="0" vertical="center" wrapText="1"/>
    </xf>
    <xf borderId="0" fillId="0" fontId="12" numFmtId="0" xfId="0" applyAlignment="1" applyFont="1">
      <alignment readingOrder="0" shrinkToFit="0" vertical="center" wrapText="1"/>
    </xf>
    <xf borderId="0" fillId="0" fontId="19" numFmtId="0" xfId="0" applyAlignment="1" applyFont="1">
      <alignment readingOrder="0" shrinkToFit="0" vertical="center" wrapText="1"/>
    </xf>
    <xf borderId="0" fillId="0" fontId="1" numFmtId="0" xfId="0" applyAlignment="1" applyFont="1">
      <alignment readingOrder="0" shrinkToFit="0" vertical="center" wrapText="1"/>
    </xf>
    <xf borderId="0" fillId="0" fontId="24" numFmtId="0" xfId="0" applyAlignment="1" applyFont="1">
      <alignment readingOrder="0" shrinkToFit="0" vertical="center" wrapText="0"/>
    </xf>
    <xf borderId="0" fillId="0" fontId="12" numFmtId="0" xfId="0" applyAlignment="1" applyFont="1">
      <alignment readingOrder="0" shrinkToFit="0" vertical="center" wrapText="1"/>
    </xf>
    <xf borderId="0" fillId="0" fontId="25" numFmtId="0" xfId="0" applyAlignment="1" applyFont="1">
      <alignment readingOrder="0" shrinkToFit="0" vertical="center" wrapText="1"/>
    </xf>
    <xf borderId="0" fillId="0" fontId="3" numFmtId="0" xfId="0" applyAlignment="1" applyFont="1">
      <alignment readingOrder="0" shrinkToFit="0" vertical="center" wrapText="1"/>
    </xf>
    <xf borderId="0" fillId="0" fontId="12" numFmtId="0" xfId="0" applyAlignment="1" applyFont="1">
      <alignment readingOrder="0" shrinkToFit="0" vertical="center" wrapText="1"/>
    </xf>
    <xf borderId="0" fillId="0" fontId="19" numFmtId="0" xfId="0" applyAlignment="1" applyFont="1">
      <alignment readingOrder="0" shrinkToFit="0" wrapText="1"/>
    </xf>
    <xf borderId="0" fillId="0" fontId="26" numFmtId="0" xfId="0" applyAlignment="1" applyFont="1">
      <alignment readingOrder="0" shrinkToFit="0" vertical="center" wrapText="1"/>
    </xf>
    <xf borderId="0" fillId="0" fontId="12" numFmtId="0" xfId="0" applyAlignment="1" applyFont="1">
      <alignment readingOrder="0" shrinkToFit="0" vertical="center" wrapText="1"/>
    </xf>
    <xf borderId="0" fillId="0" fontId="27" numFmtId="49" xfId="0" applyAlignment="1" applyFont="1" applyNumberFormat="1">
      <alignment horizontal="left" readingOrder="0" shrinkToFit="0" vertical="center" wrapText="0"/>
    </xf>
    <xf borderId="0" fillId="0" fontId="1" numFmtId="49" xfId="0" applyAlignment="1" applyFont="1" applyNumberFormat="1">
      <alignment readingOrder="0" shrinkToFit="0" vertical="center" wrapText="1"/>
    </xf>
    <xf borderId="0" fillId="0" fontId="28" numFmtId="0" xfId="0" applyAlignment="1" applyFont="1">
      <alignment readingOrder="0" shrinkToFit="0" vertical="center" wrapText="0"/>
    </xf>
    <xf borderId="0" fillId="0" fontId="19" numFmtId="0" xfId="0" applyAlignment="1" applyFont="1">
      <alignment shrinkToFit="0" vertical="center" wrapText="1"/>
    </xf>
    <xf borderId="0" fillId="0" fontId="29" numFmtId="0" xfId="0" applyAlignment="1" applyFont="1">
      <alignment readingOrder="0" shrinkToFit="0" vertical="bottom" wrapText="0"/>
    </xf>
    <xf borderId="0" fillId="0" fontId="19"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30" numFmtId="0" xfId="0" applyAlignment="1" applyFont="1">
      <alignment readingOrder="0" shrinkToFit="0" vertical="center" wrapText="1"/>
    </xf>
    <xf borderId="0" fillId="0" fontId="31" numFmtId="0" xfId="0" applyAlignment="1" applyFont="1">
      <alignment readingOrder="0" shrinkToFit="0" vertical="center" wrapText="1"/>
    </xf>
    <xf borderId="0" fillId="0" fontId="32" numFmtId="0" xfId="0" applyAlignment="1" applyFont="1">
      <alignment readingOrder="0" shrinkToFit="0" vertical="center" wrapText="1"/>
    </xf>
    <xf borderId="0" fillId="0" fontId="2" numFmtId="0" xfId="0" applyAlignment="1" applyFont="1">
      <alignment readingOrder="0" shrinkToFit="0" vertical="center" wrapText="1"/>
    </xf>
    <xf borderId="0" fillId="0" fontId="33" numFmtId="0" xfId="0" applyAlignment="1" applyFont="1">
      <alignment readingOrder="0" shrinkToFit="0" vertical="center" wrapText="1"/>
    </xf>
    <xf borderId="0" fillId="0" fontId="34" numFmtId="0" xfId="0" applyAlignment="1" applyFont="1">
      <alignment readingOrder="0" shrinkToFit="0" vertical="center" wrapText="1"/>
    </xf>
    <xf borderId="0" fillId="0" fontId="35" numFmtId="0" xfId="0" applyAlignment="1" applyFont="1">
      <alignment readingOrder="0" shrinkToFit="0" vertical="center" wrapText="1"/>
    </xf>
    <xf borderId="1" fillId="4" fontId="36" numFmtId="0" xfId="0" applyAlignment="1" applyBorder="1" applyFill="1" applyFont="1">
      <alignment readingOrder="0" shrinkToFit="0" vertical="center" wrapText="1"/>
    </xf>
    <xf borderId="2" fillId="4" fontId="37" numFmtId="0" xfId="0" applyAlignment="1" applyBorder="1" applyFont="1">
      <alignment shrinkToFit="0" vertical="center" wrapText="1"/>
    </xf>
    <xf borderId="2" fillId="4" fontId="38" numFmtId="0" xfId="0" applyAlignment="1" applyBorder="1" applyFont="1">
      <alignment shrinkToFit="0" vertical="center" wrapText="1"/>
    </xf>
    <xf borderId="2" fillId="4" fontId="38" numFmtId="0" xfId="0" applyAlignment="1" applyBorder="1" applyFont="1">
      <alignment readingOrder="0" shrinkToFit="0" vertical="center" wrapText="1"/>
    </xf>
    <xf borderId="2" fillId="4" fontId="39" numFmtId="0" xfId="0" applyAlignment="1" applyBorder="1" applyFont="1">
      <alignment horizontal="left" readingOrder="0" shrinkToFit="0" vertical="center" wrapText="0"/>
    </xf>
    <xf borderId="2" fillId="4" fontId="39" numFmtId="0" xfId="0" applyAlignment="1" applyBorder="1" applyFont="1">
      <alignment shrinkToFit="0" vertical="center" wrapText="0"/>
    </xf>
    <xf borderId="2" fillId="4" fontId="39" numFmtId="49" xfId="0" applyAlignment="1" applyBorder="1" applyFont="1" applyNumberFormat="1">
      <alignment shrinkToFit="0" vertical="center" wrapText="0"/>
    </xf>
    <xf borderId="3" fillId="4" fontId="39" numFmtId="49" xfId="0" applyAlignment="1" applyBorder="1" applyFont="1" applyNumberFormat="1">
      <alignment shrinkToFit="0" vertical="center" wrapText="0"/>
    </xf>
    <xf borderId="0" fillId="0" fontId="39" numFmtId="0" xfId="0" applyAlignment="1" applyFont="1">
      <alignment vertical="bottom"/>
    </xf>
    <xf borderId="0" fillId="0" fontId="2" numFmtId="0" xfId="0" applyAlignment="1" applyFont="1">
      <alignment horizontal="left" readingOrder="0" shrinkToFit="0" vertical="center" wrapText="0"/>
    </xf>
    <xf borderId="1" fillId="4" fontId="38" numFmtId="0" xfId="0" applyAlignment="1" applyBorder="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40"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41"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shrinkToFit="0" vertical="center" wrapText="1"/>
    </xf>
    <xf borderId="0" fillId="3" fontId="42" numFmtId="0" xfId="0" applyAlignment="1" applyFont="1">
      <alignment readingOrder="0" shrinkToFit="0" vertical="center" wrapText="0"/>
    </xf>
    <xf borderId="0" fillId="0" fontId="2" numFmtId="0" xfId="0" applyAlignment="1" applyFont="1">
      <alignment readingOrder="0" shrinkToFit="0" vertical="center" wrapText="1"/>
    </xf>
    <xf borderId="0" fillId="3" fontId="4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4" fillId="3" fontId="43" numFmtId="0" xfId="0" applyAlignment="1" applyBorder="1" applyFont="1">
      <alignment shrinkToFit="0" vertical="center" wrapText="1"/>
    </xf>
    <xf borderId="2" fillId="3" fontId="44" numFmtId="0" xfId="0" applyAlignment="1" applyBorder="1" applyFont="1">
      <alignment shrinkToFit="0" vertical="center" wrapText="1"/>
    </xf>
    <xf borderId="2" fillId="3" fontId="38" numFmtId="49" xfId="0" applyAlignment="1" applyBorder="1" applyFont="1" applyNumberFormat="1">
      <alignment shrinkToFit="0" vertical="center" wrapText="1"/>
    </xf>
    <xf borderId="2" fillId="3" fontId="45" numFmtId="49" xfId="0" applyAlignment="1" applyBorder="1" applyFont="1" applyNumberFormat="1">
      <alignment shrinkToFit="0" vertical="center" wrapText="1"/>
    </xf>
    <xf borderId="2" fillId="3" fontId="39" numFmtId="49" xfId="0" applyAlignment="1" applyBorder="1" applyFont="1" applyNumberFormat="1">
      <alignment shrinkToFit="0" vertical="center" wrapText="0"/>
    </xf>
    <xf borderId="5" fillId="3" fontId="38" numFmtId="49" xfId="0" applyAlignment="1" applyBorder="1" applyFont="1" applyNumberFormat="1">
      <alignment shrinkToFit="0" vertical="center" wrapText="1"/>
    </xf>
    <xf borderId="4" fillId="4" fontId="43" numFmtId="0" xfId="0" applyAlignment="1" applyBorder="1" applyFont="1">
      <alignment shrinkToFit="0" vertical="center" wrapText="1"/>
    </xf>
    <xf borderId="2" fillId="4" fontId="46" numFmtId="0" xfId="0" applyAlignment="1" applyBorder="1" applyFont="1">
      <alignment shrinkToFit="0" vertical="center" wrapText="1"/>
    </xf>
    <xf borderId="2" fillId="4" fontId="38" numFmtId="49" xfId="0" applyAlignment="1" applyBorder="1" applyFont="1" applyNumberFormat="1">
      <alignment shrinkToFit="0" vertical="center" wrapText="1"/>
    </xf>
    <xf borderId="2" fillId="4" fontId="47" numFmtId="49" xfId="0" applyAlignment="1" applyBorder="1" applyFont="1" applyNumberFormat="1">
      <alignment shrinkToFit="0" vertical="center" wrapText="1"/>
    </xf>
    <xf borderId="5" fillId="4" fontId="38" numFmtId="49" xfId="0" applyAlignment="1" applyBorder="1" applyFont="1" applyNumberFormat="1">
      <alignment shrinkToFit="0" vertical="center" wrapText="1"/>
    </xf>
    <xf borderId="4" fillId="4" fontId="48" numFmtId="0" xfId="0" applyAlignment="1" applyBorder="1" applyFont="1">
      <alignment shrinkToFit="0" vertical="center" wrapText="1"/>
    </xf>
    <xf borderId="4" fillId="3" fontId="48" numFmtId="0" xfId="0" applyAlignment="1" applyBorder="1" applyFont="1">
      <alignment shrinkToFit="0" vertical="center" wrapText="1"/>
    </xf>
    <xf borderId="2" fillId="3" fontId="44" numFmtId="0" xfId="0" applyAlignment="1" applyBorder="1" applyFont="1">
      <alignment shrinkToFit="0" vertical="center" wrapText="0"/>
    </xf>
    <xf borderId="2" fillId="4" fontId="44" numFmtId="0" xfId="0" applyAlignment="1" applyBorder="1" applyFont="1">
      <alignment shrinkToFit="0" vertical="center" wrapText="0"/>
    </xf>
    <xf borderId="2" fillId="3" fontId="46" numFmtId="0" xfId="0" applyAlignment="1" applyBorder="1" applyFont="1">
      <alignment shrinkToFit="0" vertical="center" wrapText="0"/>
    </xf>
    <xf borderId="2" fillId="4" fontId="49" numFmtId="0" xfId="0" applyAlignment="1" applyBorder="1" applyFont="1">
      <alignment shrinkToFit="0" vertical="center" wrapText="0"/>
    </xf>
    <xf borderId="2" fillId="4" fontId="46" numFmtId="0" xfId="0" applyAlignment="1" applyBorder="1" applyFont="1">
      <alignment shrinkToFit="0" vertical="center" wrapText="0"/>
    </xf>
    <xf borderId="2" fillId="3" fontId="50" numFmtId="0" xfId="0" applyAlignment="1" applyBorder="1" applyFont="1">
      <alignment shrinkToFit="0" vertical="center" wrapText="0"/>
    </xf>
    <xf borderId="2" fillId="4" fontId="51" numFmtId="0" xfId="0" applyAlignment="1" applyBorder="1" applyFont="1">
      <alignment shrinkToFit="0" vertical="center" wrapText="1"/>
    </xf>
    <xf borderId="2" fillId="3" fontId="38" numFmtId="0" xfId="0" applyAlignment="1" applyBorder="1" applyFont="1">
      <alignment shrinkToFit="0" vertical="center" wrapText="1"/>
    </xf>
    <xf borderId="2" fillId="3" fontId="39" numFmtId="0" xfId="0" applyAlignment="1" applyBorder="1" applyFont="1">
      <alignment shrinkToFit="0" vertical="center" wrapText="0"/>
    </xf>
    <xf borderId="2" fillId="3" fontId="52" numFmtId="0" xfId="0" applyAlignment="1" applyBorder="1" applyFont="1">
      <alignment shrinkToFit="0" vertical="center" wrapText="1"/>
    </xf>
    <xf borderId="6" fillId="4" fontId="48" numFmtId="0" xfId="0" applyAlignment="1" applyBorder="1" applyFont="1">
      <alignment shrinkToFit="0" vertical="center" wrapText="1"/>
    </xf>
    <xf borderId="7" fillId="4" fontId="53" numFmtId="0" xfId="0" applyAlignment="1" applyBorder="1" applyFont="1">
      <alignment shrinkToFit="0" vertical="center" wrapText="0"/>
    </xf>
    <xf borderId="7" fillId="4" fontId="38" numFmtId="0" xfId="0" applyAlignment="1" applyBorder="1" applyFont="1">
      <alignment shrinkToFit="0" vertical="center" wrapText="1"/>
    </xf>
    <xf borderId="7" fillId="4" fontId="54" numFmtId="0" xfId="0" applyAlignment="1" applyBorder="1" applyFont="1">
      <alignment shrinkToFit="0" vertical="center" wrapText="1"/>
    </xf>
    <xf borderId="7" fillId="4" fontId="39" numFmtId="0" xfId="0" applyAlignment="1" applyBorder="1" applyFont="1">
      <alignment shrinkToFit="0" vertical="center" wrapText="0"/>
    </xf>
    <xf borderId="7" fillId="4" fontId="38" numFmtId="49" xfId="0" applyAlignment="1" applyBorder="1" applyFont="1" applyNumberFormat="1">
      <alignment shrinkToFit="0" vertical="center" wrapText="1"/>
    </xf>
    <xf borderId="8" fillId="4" fontId="38" numFmtId="49" xfId="0" applyAlignment="1" applyBorder="1" applyFont="1" applyNumberFormat="1">
      <alignment shrinkToFit="0" vertical="center" wrapText="1"/>
    </xf>
    <xf borderId="0" fillId="4" fontId="53" numFmtId="0" xfId="0" applyAlignment="1" applyFont="1">
      <alignment readingOrder="0" shrinkToFit="0" vertical="center" wrapText="0"/>
    </xf>
    <xf borderId="0" fillId="4" fontId="38" numFmtId="0" xfId="0" applyAlignment="1" applyFont="1">
      <alignment readingOrder="0" shrinkToFit="0" vertical="center" wrapText="1"/>
    </xf>
    <xf borderId="0" fillId="4" fontId="38" numFmtId="0" xfId="0" applyAlignment="1" applyFont="1">
      <alignment shrinkToFit="0" vertical="center" wrapText="1"/>
    </xf>
    <xf borderId="0" fillId="4" fontId="55" numFmtId="0" xfId="0" applyAlignment="1" applyFont="1">
      <alignment readingOrder="0" shrinkToFit="0" vertical="center" wrapText="1"/>
    </xf>
    <xf borderId="0" fillId="4" fontId="39" numFmtId="0" xfId="0" applyAlignment="1" applyFont="1">
      <alignment shrinkToFit="0" vertical="center" wrapText="0"/>
    </xf>
    <xf borderId="0" fillId="4" fontId="38" numFmtId="49" xfId="0" applyAlignment="1" applyFont="1" applyNumberFormat="1">
      <alignment readingOrder="0" shrinkToFit="0" vertical="center" wrapText="1"/>
    </xf>
    <xf borderId="0" fillId="4" fontId="56" numFmtId="0" xfId="0" applyAlignment="1" applyFont="1">
      <alignment readingOrder="0" shrinkToFit="0" vertical="center" wrapText="1"/>
    </xf>
  </cellXfs>
  <cellStyles count="1">
    <cellStyle xfId="0" name="Normal" builtinId="0"/>
  </cellStyles>
  <dxfs count="9">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vertical style="thin">
          <color rgb="FFD4D4D4"/>
        </vertical>
        <horizontal style="thin">
          <color rgb="FFD4D4D4"/>
        </horizontal>
      </border>
    </dxf>
    <dxf>
      <font/>
      <fill>
        <patternFill patternType="solid">
          <fgColor rgb="FFBB463C"/>
          <bgColor rgb="FFBB463C"/>
        </patternFill>
      </fill>
      <border/>
    </dxf>
    <dxf>
      <font/>
      <fill>
        <patternFill patternType="solid">
          <fgColor rgb="FF535FC1"/>
          <bgColor rgb="FF535FC1"/>
        </patternFill>
      </fill>
      <border/>
    </dxf>
    <dxf>
      <font/>
      <fill>
        <patternFill patternType="solid">
          <fgColor rgb="FF5B3F86"/>
          <bgColor rgb="FF5B3F86"/>
        </patternFill>
      </fill>
      <border/>
    </dxf>
    <dxf>
      <font/>
      <fill>
        <patternFill patternType="solid">
          <fgColor rgb="FF356854"/>
          <bgColor rgb="FF356854"/>
        </patternFill>
      </fill>
      <border/>
    </dxf>
  </dxfs>
  <tableStyles count="5">
    <tableStyle count="4" pivot="0" name="Spazi di lotta-style">
      <tableStyleElement dxfId="1" type="headerRow"/>
      <tableStyleElement dxfId="2" type="firstRowStripe"/>
      <tableStyleElement dxfId="3" type="secondRowStripe"/>
      <tableStyleElement dxfId="4" size="0" type="wholeTable"/>
    </tableStyle>
    <tableStyle count="4" pivot="0" name="Spazi di studio-style">
      <tableStyleElement dxfId="5" type="headerRow"/>
      <tableStyleElement dxfId="2" type="firstRowStripe"/>
      <tableStyleElement dxfId="3" type="secondRowStripe"/>
      <tableStyleElement dxfId="4" size="0" type="wholeTable"/>
    </tableStyle>
    <tableStyle count="4" pivot="0" name="Spazi di aggregazione-style">
      <tableStyleElement dxfId="6" type="headerRow"/>
      <tableStyleElement dxfId="2" type="firstRowStripe"/>
      <tableStyleElement dxfId="3" type="secondRowStripe"/>
      <tableStyleElement dxfId="4" size="0" type="wholeTable"/>
    </tableStyle>
    <tableStyle count="4" pivot="0" name="Spazi vuoti e svuotati-style">
      <tableStyleElement dxfId="7" type="headerRow"/>
      <tableStyleElement dxfId="2" type="firstRowStripe"/>
      <tableStyleElement dxfId="3" type="secondRowStripe"/>
      <tableStyleElement dxfId="4" size="0" type="wholeTable"/>
    </tableStyle>
    <tableStyle count="4" pivot="0" name="Spazi del gioco-style">
      <tableStyleElement dxfId="8"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1" displayName="Spazi_di_lotta" name="Spazi_di_lotta" id="1">
  <tableColumns count="7">
    <tableColumn name="Spazio" id="1"/>
    <tableColumn name="Categoria" id="2"/>
    <tableColumn name="Indirizzo google" id="3"/>
    <tableColumn name="Descrizione attività" id="4"/>
    <tableColumn name="Latitudine" id="5"/>
    <tableColumn name="Longitudine" id="6"/>
    <tableColumn name="Link social" id="7"/>
  </tableColumns>
  <tableStyleInfo name="Spazi di lotta-style" showColumnStripes="0" showFirstColumn="1" showLastColumn="1" showRowStripes="1"/>
</table>
</file>

<file path=xl/tables/table2.xml><?xml version="1.0" encoding="utf-8"?>
<table xmlns="http://schemas.openxmlformats.org/spreadsheetml/2006/main" ref="A1:J76" displayName="Spazi_di_studio" name="Spazi_di_studio" id="2">
  <tableColumns count="10">
    <tableColumn name="Spazio" id="1"/>
    <tableColumn name="Categoria" id="2"/>
    <tableColumn name="Indirizzo" id="3"/>
    <tableColumn name="Orari e giorni di apertura " id="4"/>
    <tableColumn name="Funzionalità" id="5"/>
    <tableColumn name="Capienza" id="6"/>
    <tableColumn name="Link" id="7"/>
    <tableColumn name="Note" id="8"/>
    <tableColumn name="Latitudine" id="9"/>
    <tableColumn name="Longitudine" id="10"/>
  </tableColumns>
  <tableStyleInfo name="Spazi di studio-style" showColumnStripes="0" showFirstColumn="1" showLastColumn="1" showRowStripes="1"/>
</table>
</file>

<file path=xl/tables/table3.xml><?xml version="1.0" encoding="utf-8"?>
<table xmlns="http://schemas.openxmlformats.org/spreadsheetml/2006/main" ref="A1:G31" displayName="Spazi_di_aggregazione" name="Spazi_di_aggregazione" id="3">
  <tableColumns count="7">
    <tableColumn name="Spazio" id="1"/>
    <tableColumn name="Categoria" id="2"/>
    <tableColumn name="Indirizzo" id="3"/>
    <tableColumn name="Orari e giorni di apertura " id="4"/>
    <tableColumn name="Funzionalità" id="5"/>
    <tableColumn name="Link" id="6"/>
    <tableColumn name="Note" id="7"/>
  </tableColumns>
  <tableStyleInfo name="Spazi di aggregazione-style" showColumnStripes="0" showFirstColumn="1" showLastColumn="1" showRowStripes="1"/>
</table>
</file>

<file path=xl/tables/table4.xml><?xml version="1.0" encoding="utf-8"?>
<table xmlns="http://schemas.openxmlformats.org/spreadsheetml/2006/main" ref="A1:H31" displayName="Spazi_vuoti_e_svuotati" name="Spazi_vuoti_e_svuotati" id="4">
  <tableColumns count="8">
    <tableColumn name="Spazio" id="1"/>
    <tableColumn name="Categoria" id="2"/>
    <tableColumn name="Indirizzo" id="3"/>
    <tableColumn name="Orari e giorni di apertura " id="4"/>
    <tableColumn name="Funzionalità" id="5"/>
    <tableColumn name="Capienza" id="6"/>
    <tableColumn name="Link" id="7"/>
    <tableColumn name="Note" id="8"/>
  </tableColumns>
  <tableStyleInfo name="Spazi vuoti e svuotati-style" showColumnStripes="0" showFirstColumn="1" showLastColumn="1" showRowStripes="1"/>
</table>
</file>

<file path=xl/tables/table5.xml><?xml version="1.0" encoding="utf-8"?>
<table xmlns="http://schemas.openxmlformats.org/spreadsheetml/2006/main" ref="A1:J33" displayName="Spazi_del_gioco" name="Spazi_del_gioco" id="5">
  <tableColumns count="10">
    <tableColumn name="Spazio" id="1"/>
    <tableColumn name="Categoria" id="2"/>
    <tableColumn name="Indirizzo" id="3"/>
    <tableColumn name="Orari e giorni di apertura " id="4"/>
    <tableColumn name="Funzionalità" id="5"/>
    <tableColumn name="Capienza" id="6"/>
    <tableColumn name="Link" id="7"/>
    <tableColumn name="Note" id="8"/>
    <tableColumn name="Latitudine" id="9"/>
    <tableColumn name="Longitudine" id="10"/>
  </tableColumns>
  <tableStyleInfo name="Spazi del gioc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zona.franka/" TargetMode="External"/><Relationship Id="rId20" Type="http://schemas.openxmlformats.org/officeDocument/2006/relationships/hyperlink" Target="https://www.facebook.com/ortogentile" TargetMode="External"/><Relationship Id="rId41" Type="http://schemas.openxmlformats.org/officeDocument/2006/relationships/drawing" Target="../drawings/drawing1.xml"/><Relationship Id="rId22" Type="http://schemas.openxmlformats.org/officeDocument/2006/relationships/hyperlink" Target="https://www.facebook.com/ParcoCampagneros" TargetMode="External"/><Relationship Id="rId21" Type="http://schemas.openxmlformats.org/officeDocument/2006/relationships/hyperlink" Target="https://maps.app.goo.gl/RrynhsUsLhKNjnzn7" TargetMode="External"/><Relationship Id="rId43" Type="http://schemas.openxmlformats.org/officeDocument/2006/relationships/table" Target="../tables/table1.xml"/><Relationship Id="rId24" Type="http://schemas.openxmlformats.org/officeDocument/2006/relationships/hyperlink" Target="https://www.instagram.com/parco_gargasole/" TargetMode="External"/><Relationship Id="rId23" Type="http://schemas.openxmlformats.org/officeDocument/2006/relationships/hyperlink" Target="https://maps.app.goo.gl/PRG59135BRuCX74d8" TargetMode="External"/><Relationship Id="rId1" Type="http://schemas.openxmlformats.org/officeDocument/2006/relationships/hyperlink" Target="https://maps.app.goo.gl/hj7zT3vQvaxk59dt8" TargetMode="External"/><Relationship Id="rId2" Type="http://schemas.openxmlformats.org/officeDocument/2006/relationships/hyperlink" Target="https://www.instagram.com/accademiadelcinemaragazzi/" TargetMode="External"/><Relationship Id="rId3" Type="http://schemas.openxmlformats.org/officeDocument/2006/relationships/hyperlink" Target="https://maps.app.goo.gl/JMgQnB7XbE3biFgH8" TargetMode="External"/><Relationship Id="rId4" Type="http://schemas.openxmlformats.org/officeDocument/2006/relationships/hyperlink" Target="https://www.instagram.com/breadandrosesbari/" TargetMode="External"/><Relationship Id="rId9" Type="http://schemas.openxmlformats.org/officeDocument/2006/relationships/hyperlink" Target="https://maps.app.goo.gl/DHp1Hyp8HfLTXiCr8" TargetMode="External"/><Relationship Id="rId26" Type="http://schemas.openxmlformats.org/officeDocument/2006/relationships/hyperlink" Target="https://www.instagram.com/frequenzalibera/" TargetMode="External"/><Relationship Id="rId25" Type="http://schemas.openxmlformats.org/officeDocument/2006/relationships/hyperlink" Target="https://maps.app.goo.gl/EUDZcwZ1adcJyC787" TargetMode="External"/><Relationship Id="rId28" Type="http://schemas.openxmlformats.org/officeDocument/2006/relationships/hyperlink" Target="https://www.instagram.com/spaziotredici/" TargetMode="External"/><Relationship Id="rId27" Type="http://schemas.openxmlformats.org/officeDocument/2006/relationships/hyperlink" Target="https://maps.app.goo.gl/ff2Etz18MxBogWmj7" TargetMode="External"/><Relationship Id="rId5" Type="http://schemas.openxmlformats.org/officeDocument/2006/relationships/hyperlink" Target="https://maps.app.goo.gl/nAmXAFhDaYa3esWj8" TargetMode="External"/><Relationship Id="rId6" Type="http://schemas.openxmlformats.org/officeDocument/2006/relationships/hyperlink" Target="https://www.instagram.com/chiosco_mimmo_bucci/" TargetMode="External"/><Relationship Id="rId29" Type="http://schemas.openxmlformats.org/officeDocument/2006/relationships/hyperlink" Target="https://maps.app.goo.gl/s7VVywJBF5qccDXs5" TargetMode="External"/><Relationship Id="rId7" Type="http://schemas.openxmlformats.org/officeDocument/2006/relationships/hyperlink" Target="https://maps.app.goo.gl/BTuKiHLNVRfj16EDA" TargetMode="External"/><Relationship Id="rId8" Type="http://schemas.openxmlformats.org/officeDocument/2006/relationships/hyperlink" Target="https://www.instagram.com/excasermaliberatabari/" TargetMode="External"/><Relationship Id="rId31" Type="http://schemas.openxmlformats.org/officeDocument/2006/relationships/hyperlink" Target="https://maps.app.goo.gl/mbQeCqjPvBoZxZPb6" TargetMode="External"/><Relationship Id="rId30" Type="http://schemas.openxmlformats.org/officeDocument/2006/relationships/hyperlink" Target="https://www.instagram.com/spazio17bari/" TargetMode="External"/><Relationship Id="rId11" Type="http://schemas.openxmlformats.org/officeDocument/2006/relationships/hyperlink" Target="https://maps.app.goo.gl/pGt7UPHvdPzTaWyk7" TargetMode="External"/><Relationship Id="rId33" Type="http://schemas.openxmlformats.org/officeDocument/2006/relationships/hyperlink" Target="https://maps.app.goo.gl/a6rc8kL5kdc9mA3Y9" TargetMode="External"/><Relationship Id="rId10" Type="http://schemas.openxmlformats.org/officeDocument/2006/relationships/hyperlink" Target="https://www.instagram.com/expostmoderno/" TargetMode="External"/><Relationship Id="rId32" Type="http://schemas.openxmlformats.org/officeDocument/2006/relationships/hyperlink" Target="https://www.facebook.com/teatriurbaniorganizzati/" TargetMode="External"/><Relationship Id="rId13" Type="http://schemas.openxmlformats.org/officeDocument/2006/relationships/hyperlink" Target="https://maps.app.goo.gl/PKU36cMcS8b8KA7D6" TargetMode="External"/><Relationship Id="rId35" Type="http://schemas.openxmlformats.org/officeDocument/2006/relationships/hyperlink" Target="https://maps.app.goo.gl/cme5pYuDBieJM7z88" TargetMode="External"/><Relationship Id="rId12" Type="http://schemas.openxmlformats.org/officeDocument/2006/relationships/hyperlink" Target="https://www.instagram.com/fuoribinaria/" TargetMode="External"/><Relationship Id="rId34" Type="http://schemas.openxmlformats.org/officeDocument/2006/relationships/hyperlink" Target="https://www.facebook.com/VillaRothOccupata" TargetMode="External"/><Relationship Id="rId15" Type="http://schemas.openxmlformats.org/officeDocument/2006/relationships/hyperlink" Target="https://maps.app.goo.gl/kUzV2w6RYwRxGex86" TargetMode="External"/><Relationship Id="rId37" Type="http://schemas.openxmlformats.org/officeDocument/2006/relationships/hyperlink" Target="https://maps.app.goo.gl/CmSQXYNsxmLzPB717" TargetMode="External"/><Relationship Id="rId14" Type="http://schemas.openxmlformats.org/officeDocument/2006/relationships/hyperlink" Target="https://www.instagram.com/generazioneurbana/" TargetMode="External"/><Relationship Id="rId36" Type="http://schemas.openxmlformats.org/officeDocument/2006/relationships/hyperlink" Target="https://www.instagram.com/vogaartproject/" TargetMode="External"/><Relationship Id="rId17" Type="http://schemas.openxmlformats.org/officeDocument/2006/relationships/hyperlink" Target="https://maps.app.goo.gl/rzjhJcGXBVrxXuii8" TargetMode="External"/><Relationship Id="rId39" Type="http://schemas.openxmlformats.org/officeDocument/2006/relationships/hyperlink" Target="https://maps.app.goo.gl/26FC3cbTWftB8KaRA" TargetMode="External"/><Relationship Id="rId16" Type="http://schemas.openxmlformats.org/officeDocument/2006/relationships/hyperlink" Target="https://www.instagram.com/mixed.lgbtqia/" TargetMode="External"/><Relationship Id="rId38" Type="http://schemas.openxmlformats.org/officeDocument/2006/relationships/hyperlink" Target="https://www.instagram.com/zamp3_mostruos3/" TargetMode="External"/><Relationship Id="rId19" Type="http://schemas.openxmlformats.org/officeDocument/2006/relationships/hyperlink" Target="https://maps.app.goo.gl/R3QNNckmApiHzA5o7" TargetMode="External"/><Relationship Id="rId18" Type="http://schemas.openxmlformats.org/officeDocument/2006/relationships/hyperlink" Target="https://www.instagram.com/officina.cheguevara/"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cittametropolitana.ba.it/vivere_il_comune/luoghi/luogo_6.html" TargetMode="External"/><Relationship Id="rId42" Type="http://schemas.openxmlformats.org/officeDocument/2006/relationships/hyperlink" Target="https://biblioteche.comune.bari.it/SebinaOpac/library/Biblioteca%20Cagnazzi/PUG84" TargetMode="External"/><Relationship Id="rId41" Type="http://schemas.openxmlformats.org/officeDocument/2006/relationships/hyperlink" Target="https://www.bibliotecaricchetti.it/" TargetMode="External"/><Relationship Id="rId44" Type="http://schemas.openxmlformats.org/officeDocument/2006/relationships/hyperlink" Target="https://biblioteche.comune.bari.it/SebinaOpac/library/Biblioteca%20Duse/PUG76" TargetMode="External"/><Relationship Id="rId43" Type="http://schemas.openxmlformats.org/officeDocument/2006/relationships/hyperlink" Target="https://biblioteche.comune.bari.it/SebinaOpac/library/Biblioteca%20Catino/PUG80" TargetMode="External"/><Relationship Id="rId46" Type="http://schemas.openxmlformats.org/officeDocument/2006/relationships/hyperlink" Target="https://biblioteche.comune.bari.it/SebinaOpac/library/Biblioteca%20Lombardi/PUG75" TargetMode="External"/><Relationship Id="rId45" Type="http://schemas.openxmlformats.org/officeDocument/2006/relationships/hyperlink" Target="https://biblioteche.comune.bari.it/SebinaOpac/library/Biblioteca%20Iurlo/PUG79" TargetMode="External"/><Relationship Id="rId1" Type="http://schemas.openxmlformats.org/officeDocument/2006/relationships/comments" Target="../comments1.xml"/><Relationship Id="rId2" Type="http://schemas.openxmlformats.org/officeDocument/2006/relationships/hyperlink" Target="https://maps.app.goo.gl/scJYguCBMsxg9Ke9A" TargetMode="External"/><Relationship Id="rId3" Type="http://schemas.openxmlformats.org/officeDocument/2006/relationships/hyperlink" Target="https://www.uniba.it/it/scuole/medicina/aule/aula-studio" TargetMode="External"/><Relationship Id="rId4" Type="http://schemas.openxmlformats.org/officeDocument/2006/relationships/hyperlink" Target="https://maps.app.goo.gl/scJYguCBMsxg9Ke9A" TargetMode="External"/><Relationship Id="rId9" Type="http://schemas.openxmlformats.org/officeDocument/2006/relationships/hyperlink" Target="https://maps.app.goo.gl/3cEQxS5FzH4xyUZB9" TargetMode="External"/><Relationship Id="rId48" Type="http://schemas.openxmlformats.org/officeDocument/2006/relationships/hyperlink" Target="https://biblioteche.comune.bari.it/SebinaOpac/library/Biblioteca%20Maurogiovanni/PUG78" TargetMode="External"/><Relationship Id="rId47" Type="http://schemas.openxmlformats.org/officeDocument/2006/relationships/hyperlink" Target="https://biblioteche.comune.bari.it/SebinaOpac/library/Biblioteca%20%E2%80%9CG.%20Marconi%E2%80%9D/PUG77" TargetMode="External"/><Relationship Id="rId49" Type="http://schemas.openxmlformats.org/officeDocument/2006/relationships/hyperlink" Target="https://biblioteche.comune.bari.it/SebinaOpac/library/Biblioteca%20Don%20Bosco/PUG82" TargetMode="External"/><Relationship Id="rId5" Type="http://schemas.openxmlformats.org/officeDocument/2006/relationships/hyperlink" Target="https://www.uniba.it/it/bibliotechecentri/biblioteca-facolta-medicina" TargetMode="External"/><Relationship Id="rId6" Type="http://schemas.openxmlformats.org/officeDocument/2006/relationships/hyperlink" Target="https://www.instagram.com/ops_uniba/p/DBwH5BFN0vx/?img_index=4" TargetMode="External"/><Relationship Id="rId7" Type="http://schemas.openxmlformats.org/officeDocument/2006/relationships/hyperlink" Target="https://maps.app.goo.gl/wjR6iR6puApny67KA" TargetMode="External"/><Relationship Id="rId8" Type="http://schemas.openxmlformats.org/officeDocument/2006/relationships/hyperlink" Target="https://www.uniba.it/it/bibliotechecentri/biblioteca-ateneo" TargetMode="External"/><Relationship Id="rId31" Type="http://schemas.openxmlformats.org/officeDocument/2006/relationships/hyperlink" Target="https://sabapba.cultura.gov.it/servizi-allutenza/biblioteca/" TargetMode="External"/><Relationship Id="rId30" Type="http://schemas.openxmlformats.org/officeDocument/2006/relationships/hyperlink" Target="https://www.uniba.it/it/ricerca/dipartimenti/fisica/biblioteca" TargetMode="External"/><Relationship Id="rId33" Type="http://schemas.openxmlformats.org/officeDocument/2006/relationships/hyperlink" Target="https://www.consba.it/it/63/biblioteca" TargetMode="External"/><Relationship Id="rId32" Type="http://schemas.openxmlformats.org/officeDocument/2006/relationships/hyperlink" Target="https://www.beweb.chiesacattolica.it/istituticulturali/istituto/1279/Biblioteca+della+Provincia+delle+Puglie+dei+Frati+minori+cappuccini" TargetMode="External"/><Relationship Id="rId35" Type="http://schemas.openxmlformats.org/officeDocument/2006/relationships/hyperlink" Target="http://www.progettocitta.org/i-servizi/biblioteca-ragazzi-e.html" TargetMode="External"/><Relationship Id="rId34" Type="http://schemas.openxmlformats.org/officeDocument/2006/relationships/hyperlink" Target="http://www.fondazionegiuseppetatarella.it/biblioteca/" TargetMode="External"/><Relationship Id="rId37" Type="http://schemas.openxmlformats.org/officeDocument/2006/relationships/hyperlink" Target="https://sab-puglia.cultura.gov.it/sorprintendeza/la-biblioteca" TargetMode="External"/><Relationship Id="rId36" Type="http://schemas.openxmlformats.org/officeDocument/2006/relationships/hyperlink" Target="https://www.fondazionepuglia.it/la-biblioteca/" TargetMode="External"/><Relationship Id="rId39" Type="http://schemas.openxmlformats.org/officeDocument/2006/relationships/hyperlink" Target="https://bibliotecanazionalebari.cultura.gov.it/" TargetMode="External"/><Relationship Id="rId38" Type="http://schemas.openxmlformats.org/officeDocument/2006/relationships/hyperlink" Target="https://archiviodistatodibari.cultura.gov.it/sala-studio/modalita-di-accesso" TargetMode="External"/><Relationship Id="rId20" Type="http://schemas.openxmlformats.org/officeDocument/2006/relationships/hyperlink" Target="https://www.poliba.it/it/sba/sba-sistema-bibliotecario-di-ateneo" TargetMode="External"/><Relationship Id="rId22" Type="http://schemas.openxmlformats.org/officeDocument/2006/relationships/hyperlink" Target="https://www.poliba.it/it/node/86/" TargetMode="External"/><Relationship Id="rId21" Type="http://schemas.openxmlformats.org/officeDocument/2006/relationships/hyperlink" Target="https://www.poliba.it/it/node/86/" TargetMode="External"/><Relationship Id="rId24" Type="http://schemas.openxmlformats.org/officeDocument/2006/relationships/hyperlink" Target="https://www.uniba.it/it/bibliotechecentri/matematica" TargetMode="External"/><Relationship Id="rId23" Type="http://schemas.openxmlformats.org/officeDocument/2006/relationships/hyperlink" Target="https://www.poliba.it/it/sba/biblioteca-polilibrary" TargetMode="External"/><Relationship Id="rId26" Type="http://schemas.openxmlformats.org/officeDocument/2006/relationships/hyperlink" Target="http://www.geo.uniba.it/biblioteca.html" TargetMode="External"/><Relationship Id="rId25" Type="http://schemas.openxmlformats.org/officeDocument/2006/relationships/hyperlink" Target="https://www.uniba.it/it/ricerca/dipartimenti/farmacia/dipartimento/ubicazione-aule" TargetMode="External"/><Relationship Id="rId28" Type="http://schemas.openxmlformats.org/officeDocument/2006/relationships/hyperlink" Target="https://www.uniba.it/it/corsi/scienze-biologiche/studiare/aule-laboratori-biblioteche/biblioteche-e-sale-studio" TargetMode="External"/><Relationship Id="rId27" Type="http://schemas.openxmlformats.org/officeDocument/2006/relationships/hyperlink" Target="https://www.uniba.it/it/ricerca/dipartimenti/bioscienze-biotecnologie/dipartimento/biblioteca" TargetMode="External"/><Relationship Id="rId29" Type="http://schemas.openxmlformats.org/officeDocument/2006/relationships/hyperlink" Target="https://www.uniba.it/it/ricerca/dipartimenti/fisica/biblioteca" TargetMode="External"/><Relationship Id="rId51" Type="http://schemas.openxmlformats.org/officeDocument/2006/relationships/hyperlink" Target="https://www.facebook.com/p/Aquarius-Biblioteca-di-Comunit%C3%A0-61558051497837/?locale=it_IT" TargetMode="External"/><Relationship Id="rId50" Type="http://schemas.openxmlformats.org/officeDocument/2006/relationships/hyperlink" Target="https://biblioteca.consiglio.puglia.it/home" TargetMode="External"/><Relationship Id="rId53" Type="http://schemas.openxmlformats.org/officeDocument/2006/relationships/vmlDrawing" Target="../drawings/vmlDrawing1.vml"/><Relationship Id="rId52" Type="http://schemas.openxmlformats.org/officeDocument/2006/relationships/drawing" Target="../drawings/drawing2.xml"/><Relationship Id="rId11" Type="http://schemas.openxmlformats.org/officeDocument/2006/relationships/hyperlink" Target="https://maps.app.goo.gl/wjR6iR6puApny67KA" TargetMode="External"/><Relationship Id="rId55" Type="http://schemas.openxmlformats.org/officeDocument/2006/relationships/table" Target="../tables/table2.xml"/><Relationship Id="rId10" Type="http://schemas.openxmlformats.org/officeDocument/2006/relationships/hyperlink" Target="https://www.uniba.it/it/bibliotechecentri/sistema-bibliotecario/biblioteche-1/polo-umanistico/forpsicom/biblioteca/biblioteca-dip" TargetMode="External"/><Relationship Id="rId13" Type="http://schemas.openxmlformats.org/officeDocument/2006/relationships/hyperlink" Target="https://www.uniba.it/it/bibliotechecentri/sistema-bibliotecario/biblioteche-1/polo-umanistico/storia_filosofia" TargetMode="External"/><Relationship Id="rId12" Type="http://schemas.openxmlformats.org/officeDocument/2006/relationships/hyperlink" Target="https://maps.app.goo.gl/wjR6iR6puApny67KA" TargetMode="External"/><Relationship Id="rId15" Type="http://schemas.openxmlformats.org/officeDocument/2006/relationships/hyperlink" Target="https://www.uniba.it/it/bibliotechecentri/sistema-bibliotecario/biblioteche-1/polo-umanistico/archeologia" TargetMode="External"/><Relationship Id="rId14" Type="http://schemas.openxmlformats.org/officeDocument/2006/relationships/hyperlink" Target="https://maps.app.goo.gl/wjR6iR6puApny67KA" TargetMode="External"/><Relationship Id="rId17" Type="http://schemas.openxmlformats.org/officeDocument/2006/relationships/hyperlink" Target="https://www.uniba.it/it/bibliotechecentri/sistema-bibliotecario/biblioteche-1/polo-umanistico/lettere" TargetMode="External"/><Relationship Id="rId16" Type="http://schemas.openxmlformats.org/officeDocument/2006/relationships/hyperlink" Target="https://maps.app.goo.gl/wjR6iR6puApny67KA" TargetMode="External"/><Relationship Id="rId19" Type="http://schemas.openxmlformats.org/officeDocument/2006/relationships/hyperlink" Target="https://www.uniba.it/it/ricerca/dipartimenti/lex/strutture-e-servizi/seminario-giuridico" TargetMode="External"/><Relationship Id="rId18" Type="http://schemas.openxmlformats.org/officeDocument/2006/relationships/hyperlink" Target="https://www.uniba.it/it/bibliotechecentri/sistema-bibliotecario/biblioteche-1/uniba-orari-biblio-e-sale-con-portierato.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maps.app.goo.gl/oQZt92jWadbGoJvW6" TargetMode="External"/><Relationship Id="rId2" Type="http://schemas.openxmlformats.org/officeDocument/2006/relationships/hyperlink" Target="https://maps.app.goo.gl/M1VhwvMaxYpcvmE39" TargetMode="External"/><Relationship Id="rId3" Type="http://schemas.openxmlformats.org/officeDocument/2006/relationships/hyperlink" Target="https://maps.app.goo.gl/W4S6zUtmNviN9ziPA" TargetMode="External"/><Relationship Id="rId4" Type="http://schemas.openxmlformats.org/officeDocument/2006/relationships/hyperlink" Target="https://maps.app.goo.gl/kjByWuGpku9KLU9H7" TargetMode="External"/><Relationship Id="rId9" Type="http://schemas.openxmlformats.org/officeDocument/2006/relationships/hyperlink" Target="https://maps.google.com/?cid=15995961425467749851&amp;g_mp=Cidnb29nbGUubWFwcy5wbGFjZXMudjEuUGxhY2VzLlNlYXJjaFRleHQ" TargetMode="External"/><Relationship Id="rId5" Type="http://schemas.openxmlformats.org/officeDocument/2006/relationships/hyperlink" Target="https://maps.google.com/?cid=12721404774673949505&amp;g_mp=Cidnb29nbGUubWFwcy5wbGFjZXMudjEuUGxhY2VzLlNlYXJjaFRleHQ" TargetMode="External"/><Relationship Id="rId6" Type="http://schemas.openxmlformats.org/officeDocument/2006/relationships/hyperlink" Target="https://maps.google.com/?cid=16101383816348396796&amp;g_mp=Cidnb29nbGUubWFwcy5wbGFjZXMudjEuUGxhY2VzLlNlYXJjaFRleHQ" TargetMode="External"/><Relationship Id="rId7" Type="http://schemas.openxmlformats.org/officeDocument/2006/relationships/hyperlink" Target="https://maps.google.com/?cid=8410945282691483378&amp;g_mp=Cidnb29nbGUubWFwcy5wbGFjZXMudjEuUGxhY2VzLlNlYXJjaFRleHQ" TargetMode="External"/><Relationship Id="rId8" Type="http://schemas.openxmlformats.org/officeDocument/2006/relationships/hyperlink" Target="https://maps.google.com/?cid=11128455437848677266&amp;g_mp=Cidnb29nbGUubWFwcy5wbGFjZXMudjEuUGxhY2VzLlNlYXJjaFRleHQ" TargetMode="External"/><Relationship Id="rId31" Type="http://schemas.openxmlformats.org/officeDocument/2006/relationships/hyperlink" Target="https://maps.app.goo.gl/mnuxoejFzz1kC6gB6" TargetMode="External"/><Relationship Id="rId30" Type="http://schemas.openxmlformats.org/officeDocument/2006/relationships/hyperlink" Target="https://maps.app.goo.gl/jFLW6qBZGu19ohD18" TargetMode="External"/><Relationship Id="rId33" Type="http://schemas.openxmlformats.org/officeDocument/2006/relationships/drawing" Target="../drawings/drawing5.xml"/><Relationship Id="rId32" Type="http://schemas.openxmlformats.org/officeDocument/2006/relationships/hyperlink" Target="https://maps.app.goo.gl/Ka8NRUo21huVwFvn7" TargetMode="External"/><Relationship Id="rId35" Type="http://schemas.openxmlformats.org/officeDocument/2006/relationships/table" Target="../tables/table5.xml"/><Relationship Id="rId20" Type="http://schemas.openxmlformats.org/officeDocument/2006/relationships/hyperlink" Target="https://maps.app.goo.gl/NdEKEe18dNzPn6FBA" TargetMode="External"/><Relationship Id="rId22" Type="http://schemas.openxmlformats.org/officeDocument/2006/relationships/hyperlink" Target="https://maps.app.goo.gl/wGzMSd1jP3rvuYhd6" TargetMode="External"/><Relationship Id="rId21" Type="http://schemas.openxmlformats.org/officeDocument/2006/relationships/hyperlink" Target="https://maps.app.goo.gl/m2Mi8J66wLJhymbD6" TargetMode="External"/><Relationship Id="rId24" Type="http://schemas.openxmlformats.org/officeDocument/2006/relationships/hyperlink" Target="https://maps.app.goo.gl/4bkS8M9jsG8dNNNs6" TargetMode="External"/><Relationship Id="rId23" Type="http://schemas.openxmlformats.org/officeDocument/2006/relationships/hyperlink" Target="https://maps.app.goo.gl/2vdug8MnauTUuuKd8" TargetMode="External"/><Relationship Id="rId26" Type="http://schemas.openxmlformats.org/officeDocument/2006/relationships/hyperlink" Target="https://maps.app.goo.gl/fXhR5tg52L9StZsu5" TargetMode="External"/><Relationship Id="rId25" Type="http://schemas.openxmlformats.org/officeDocument/2006/relationships/hyperlink" Target="https://maps.app.goo.gl/cbJ6uWqpcpXed8Hk7" TargetMode="External"/><Relationship Id="rId28" Type="http://schemas.openxmlformats.org/officeDocument/2006/relationships/hyperlink" Target="https://maps.app.goo.gl/VbqVz432BNGvR2oD9" TargetMode="External"/><Relationship Id="rId27" Type="http://schemas.openxmlformats.org/officeDocument/2006/relationships/hyperlink" Target="https://maps.app.goo.gl/46fZAUowafNstUbb9" TargetMode="External"/><Relationship Id="rId29" Type="http://schemas.openxmlformats.org/officeDocument/2006/relationships/hyperlink" Target="https://maps.app.goo.gl/thiUp2xQkcAE6HFAA" TargetMode="External"/><Relationship Id="rId11" Type="http://schemas.openxmlformats.org/officeDocument/2006/relationships/hyperlink" Target="https://maps.google.com/?cid=14366176422774870344&amp;g_mp=Cidnb29nbGUubWFwcy5wbGFjZXMudjEuUGxhY2VzLlNlYXJjaFRleHQ" TargetMode="External"/><Relationship Id="rId10" Type="http://schemas.openxmlformats.org/officeDocument/2006/relationships/hyperlink" Target="https://maps.google.com/?cid=11783196006490824121&amp;g_mp=Cidnb29nbGUubWFwcy5wbGFjZXMudjEuUGxhY2VzLlNlYXJjaFRleHQ" TargetMode="External"/><Relationship Id="rId13" Type="http://schemas.openxmlformats.org/officeDocument/2006/relationships/hyperlink" Target="https://maps.google.com/?cid=9727678549361169649&amp;g_mp=Cidnb29nbGUubWFwcy5wbGFjZXMudjEuUGxhY2VzLlNlYXJjaFRleHQ" TargetMode="External"/><Relationship Id="rId12" Type="http://schemas.openxmlformats.org/officeDocument/2006/relationships/hyperlink" Target="https://maps.google.com/?cid=14147160645530922865&amp;g_mp=Cidnb29nbGUubWFwcy5wbGFjZXMudjEuUGxhY2VzLlNlYXJjaFRleHQ" TargetMode="External"/><Relationship Id="rId15" Type="http://schemas.openxmlformats.org/officeDocument/2006/relationships/hyperlink" Target="https://maps.google.com/?cid=8853850623400526909&amp;g_mp=Cidnb29nbGUubWFwcy5wbGFjZXMudjEuUGxhY2VzLlNlYXJjaFRleHQ" TargetMode="External"/><Relationship Id="rId14" Type="http://schemas.openxmlformats.org/officeDocument/2006/relationships/hyperlink" Target="https://maps.google.com/?cid=8672478905160561591&amp;g_mp=Cidnb29nbGUubWFwcy5wbGFjZXMudjEuUGxhY2VzLlNlYXJjaFRleHQ" TargetMode="External"/><Relationship Id="rId17" Type="http://schemas.openxmlformats.org/officeDocument/2006/relationships/hyperlink" Target="https://maps.google.com/?cid=1824953619132730227&amp;g_mp=Cidnb29nbGUubWFwcy5wbGFjZXMudjEuUGxhY2VzLlNlYXJjaFRleHQ" TargetMode="External"/><Relationship Id="rId16" Type="http://schemas.openxmlformats.org/officeDocument/2006/relationships/hyperlink" Target="https://maps.app.goo.gl/AuM5BnPHbqzB6uPN9" TargetMode="External"/><Relationship Id="rId19" Type="http://schemas.openxmlformats.org/officeDocument/2006/relationships/hyperlink" Target="https://maps.google.com/?cid=9325357928700172195&amp;g_mp=Cidnb29nbGUubWFwcy5wbGFjZXMudjEuUGxhY2VzLlNlYXJjaFRleHQ" TargetMode="External"/><Relationship Id="rId18" Type="http://schemas.openxmlformats.org/officeDocument/2006/relationships/hyperlink" Target="https://maps.google.com/?cid=13125054945060631636&amp;g_mp=Cidnb29nbGUubWFwcy5wbGFjZXMudjEuUGxhY2VzLlNlYXJjaFRleH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75"/>
    <col customWidth="1" min="2" max="2" width="19.38"/>
    <col customWidth="1" min="3" max="3" width="27.13"/>
    <col customWidth="1" min="4" max="4" width="75.13"/>
    <col customWidth="1" min="5" max="5" width="15.25"/>
    <col customWidth="1" min="6" max="6" width="17.5"/>
    <col customWidth="1" min="7" max="7" width="40.63"/>
  </cols>
  <sheetData>
    <row r="1" ht="22.5" customHeight="1">
      <c r="A1" s="1" t="s">
        <v>0</v>
      </c>
      <c r="B1" s="1" t="s">
        <v>1</v>
      </c>
      <c r="C1" s="1" t="s">
        <v>2</v>
      </c>
      <c r="D1" s="1" t="s">
        <v>3</v>
      </c>
      <c r="E1" s="2" t="s">
        <v>4</v>
      </c>
      <c r="F1" s="2" t="s">
        <v>5</v>
      </c>
      <c r="G1" s="3" t="s">
        <v>6</v>
      </c>
    </row>
    <row r="2" ht="45.0" customHeight="1">
      <c r="A2" s="4" t="s">
        <v>7</v>
      </c>
      <c r="B2" s="5" t="s">
        <v>8</v>
      </c>
      <c r="C2" s="6" t="s">
        <v>9</v>
      </c>
      <c r="D2" s="7" t="s">
        <v>10</v>
      </c>
      <c r="E2" s="8" t="s">
        <v>11</v>
      </c>
      <c r="F2" s="8" t="s">
        <v>12</v>
      </c>
      <c r="G2" s="9" t="s">
        <v>13</v>
      </c>
    </row>
    <row r="3" ht="45.0" customHeight="1">
      <c r="A3" s="10" t="s">
        <v>14</v>
      </c>
      <c r="B3" s="11" t="s">
        <v>15</v>
      </c>
      <c r="C3" s="12" t="s">
        <v>14</v>
      </c>
      <c r="D3" s="13" t="s">
        <v>16</v>
      </c>
      <c r="E3" s="8" t="s">
        <v>17</v>
      </c>
      <c r="F3" s="8" t="s">
        <v>18</v>
      </c>
      <c r="G3" s="14" t="s">
        <v>19</v>
      </c>
    </row>
    <row r="4" ht="45.0" customHeight="1">
      <c r="A4" s="10" t="s">
        <v>20</v>
      </c>
      <c r="B4" s="11" t="s">
        <v>8</v>
      </c>
      <c r="C4" s="15" t="s">
        <v>21</v>
      </c>
      <c r="D4" s="13" t="s">
        <v>22</v>
      </c>
      <c r="E4" s="8" t="s">
        <v>23</v>
      </c>
      <c r="F4" s="8" t="s">
        <v>24</v>
      </c>
      <c r="G4" s="14" t="s">
        <v>25</v>
      </c>
    </row>
    <row r="5" ht="45.0" customHeight="1">
      <c r="A5" s="4" t="s">
        <v>26</v>
      </c>
      <c r="B5" s="5" t="s">
        <v>27</v>
      </c>
      <c r="C5" s="16" t="s">
        <v>28</v>
      </c>
      <c r="D5" s="7" t="s">
        <v>29</v>
      </c>
      <c r="E5" s="8" t="s">
        <v>30</v>
      </c>
      <c r="F5" s="8" t="s">
        <v>31</v>
      </c>
      <c r="G5" s="14" t="s">
        <v>32</v>
      </c>
    </row>
    <row r="6" ht="45.0" customHeight="1">
      <c r="A6" s="10" t="s">
        <v>33</v>
      </c>
      <c r="B6" s="11" t="s">
        <v>15</v>
      </c>
      <c r="C6" s="12" t="s">
        <v>34</v>
      </c>
      <c r="D6" s="13" t="s">
        <v>35</v>
      </c>
      <c r="E6" s="8" t="s">
        <v>36</v>
      </c>
      <c r="F6" s="8" t="s">
        <v>37</v>
      </c>
      <c r="G6" s="14" t="s">
        <v>38</v>
      </c>
    </row>
    <row r="7" ht="45.0" customHeight="1">
      <c r="A7" s="10" t="s">
        <v>39</v>
      </c>
      <c r="B7" s="11" t="s">
        <v>8</v>
      </c>
      <c r="C7" s="15" t="s">
        <v>39</v>
      </c>
      <c r="D7" s="13" t="s">
        <v>40</v>
      </c>
      <c r="E7" s="8" t="s">
        <v>41</v>
      </c>
      <c r="F7" s="8" t="s">
        <v>42</v>
      </c>
      <c r="G7" s="14" t="s">
        <v>43</v>
      </c>
    </row>
    <row r="8" ht="45.0" customHeight="1">
      <c r="A8" s="10" t="s">
        <v>44</v>
      </c>
      <c r="B8" s="11" t="s">
        <v>8</v>
      </c>
      <c r="C8" s="15" t="s">
        <v>45</v>
      </c>
      <c r="D8" s="13" t="s">
        <v>46</v>
      </c>
      <c r="E8" s="8" t="s">
        <v>47</v>
      </c>
      <c r="F8" s="8" t="s">
        <v>48</v>
      </c>
      <c r="G8" s="14" t="s">
        <v>49</v>
      </c>
    </row>
    <row r="9" ht="45.0" customHeight="1">
      <c r="A9" s="10" t="s">
        <v>50</v>
      </c>
      <c r="B9" s="11" t="s">
        <v>8</v>
      </c>
      <c r="C9" s="15" t="s">
        <v>51</v>
      </c>
      <c r="D9" s="13" t="s">
        <v>52</v>
      </c>
      <c r="E9" s="8" t="s">
        <v>53</v>
      </c>
      <c r="F9" s="8" t="s">
        <v>54</v>
      </c>
      <c r="G9" s="14" t="s">
        <v>55</v>
      </c>
    </row>
    <row r="10" ht="45.0" customHeight="1">
      <c r="A10" s="10" t="s">
        <v>56</v>
      </c>
      <c r="B10" s="11" t="s">
        <v>8</v>
      </c>
      <c r="C10" s="12" t="s">
        <v>57</v>
      </c>
      <c r="D10" s="17" t="s">
        <v>58</v>
      </c>
      <c r="E10" s="18" t="s">
        <v>59</v>
      </c>
      <c r="F10" s="18" t="s">
        <v>60</v>
      </c>
      <c r="G10" s="14" t="s">
        <v>61</v>
      </c>
    </row>
    <row r="11" ht="45.0" customHeight="1">
      <c r="A11" s="4" t="s">
        <v>62</v>
      </c>
      <c r="B11" s="11" t="s">
        <v>63</v>
      </c>
      <c r="C11" s="12" t="s">
        <v>64</v>
      </c>
      <c r="D11" s="13" t="s">
        <v>65</v>
      </c>
      <c r="E11" s="8" t="s">
        <v>66</v>
      </c>
      <c r="F11" s="8" t="s">
        <v>67</v>
      </c>
      <c r="G11" s="14" t="s">
        <v>68</v>
      </c>
    </row>
    <row r="12" ht="45.0" customHeight="1">
      <c r="A12" s="10" t="s">
        <v>69</v>
      </c>
      <c r="B12" s="11" t="s">
        <v>8</v>
      </c>
      <c r="C12" s="15" t="s">
        <v>69</v>
      </c>
      <c r="D12" s="13" t="s">
        <v>70</v>
      </c>
      <c r="E12" s="8" t="s">
        <v>71</v>
      </c>
      <c r="F12" s="8" t="s">
        <v>72</v>
      </c>
      <c r="G12" s="14" t="s">
        <v>73</v>
      </c>
    </row>
    <row r="13" ht="45.0" customHeight="1">
      <c r="A13" s="10" t="s">
        <v>74</v>
      </c>
      <c r="B13" s="11" t="s">
        <v>63</v>
      </c>
      <c r="C13" s="15" t="s">
        <v>75</v>
      </c>
      <c r="D13" s="13" t="s">
        <v>76</v>
      </c>
      <c r="E13" s="8" t="s">
        <v>77</v>
      </c>
      <c r="F13" s="8" t="s">
        <v>78</v>
      </c>
      <c r="G13" s="14" t="s">
        <v>79</v>
      </c>
    </row>
    <row r="14" ht="45.0" customHeight="1">
      <c r="A14" s="10" t="s">
        <v>80</v>
      </c>
      <c r="B14" s="11" t="s">
        <v>8</v>
      </c>
      <c r="C14" s="15" t="s">
        <v>81</v>
      </c>
      <c r="D14" s="13" t="s">
        <v>82</v>
      </c>
      <c r="E14" s="8" t="s">
        <v>83</v>
      </c>
      <c r="F14" s="8" t="s">
        <v>84</v>
      </c>
      <c r="G14" s="14" t="s">
        <v>85</v>
      </c>
    </row>
    <row r="15" ht="45.0" customHeight="1">
      <c r="A15" s="10" t="s">
        <v>86</v>
      </c>
      <c r="B15" s="11" t="s">
        <v>63</v>
      </c>
      <c r="C15" s="15" t="s">
        <v>87</v>
      </c>
      <c r="D15" s="13" t="s">
        <v>88</v>
      </c>
      <c r="E15" s="8" t="s">
        <v>89</v>
      </c>
      <c r="F15" s="8" t="s">
        <v>90</v>
      </c>
      <c r="G15" s="14" t="s">
        <v>91</v>
      </c>
    </row>
    <row r="16" ht="45.0" customHeight="1">
      <c r="A16" s="10" t="s">
        <v>92</v>
      </c>
      <c r="B16" s="11" t="s">
        <v>15</v>
      </c>
      <c r="C16" s="15" t="s">
        <v>93</v>
      </c>
      <c r="D16" s="13" t="s">
        <v>94</v>
      </c>
      <c r="E16" s="8" t="s">
        <v>95</v>
      </c>
      <c r="F16" s="8" t="s">
        <v>96</v>
      </c>
      <c r="G16" s="14" t="s">
        <v>97</v>
      </c>
    </row>
    <row r="17" ht="45.0" customHeight="1">
      <c r="A17" s="10" t="s">
        <v>98</v>
      </c>
      <c r="B17" s="11" t="s">
        <v>8</v>
      </c>
      <c r="C17" s="15" t="s">
        <v>99</v>
      </c>
      <c r="D17" s="4" t="s">
        <v>100</v>
      </c>
      <c r="E17" s="8" t="s">
        <v>101</v>
      </c>
      <c r="F17" s="8" t="s">
        <v>102</v>
      </c>
      <c r="G17" s="14" t="s">
        <v>103</v>
      </c>
    </row>
    <row r="18" ht="45.0" customHeight="1">
      <c r="A18" s="10" t="s">
        <v>104</v>
      </c>
      <c r="B18" s="11" t="s">
        <v>27</v>
      </c>
      <c r="C18" s="15" t="s">
        <v>105</v>
      </c>
      <c r="D18" s="13" t="s">
        <v>106</v>
      </c>
      <c r="E18" s="8" t="s">
        <v>107</v>
      </c>
      <c r="F18" s="8" t="s">
        <v>108</v>
      </c>
      <c r="G18" s="14" t="s">
        <v>109</v>
      </c>
    </row>
    <row r="19" ht="45.0" customHeight="1">
      <c r="A19" s="10" t="s">
        <v>110</v>
      </c>
      <c r="B19" s="11" t="s">
        <v>111</v>
      </c>
      <c r="C19" s="19" t="s">
        <v>112</v>
      </c>
      <c r="D19" s="13" t="s">
        <v>113</v>
      </c>
      <c r="E19" s="8" t="s">
        <v>114</v>
      </c>
      <c r="F19" s="8" t="s">
        <v>115</v>
      </c>
      <c r="G19" s="14" t="s">
        <v>116</v>
      </c>
    </row>
    <row r="20" ht="45.0" customHeight="1">
      <c r="A20" s="4" t="s">
        <v>117</v>
      </c>
      <c r="B20" s="5" t="s">
        <v>111</v>
      </c>
      <c r="C20" s="16" t="s">
        <v>118</v>
      </c>
      <c r="D20" s="7" t="s">
        <v>119</v>
      </c>
      <c r="E20" s="8" t="s">
        <v>120</v>
      </c>
      <c r="F20" s="8" t="s">
        <v>121</v>
      </c>
      <c r="G20" s="14" t="s">
        <v>122</v>
      </c>
    </row>
    <row r="21" ht="45.0" customHeight="1">
      <c r="A21" s="4" t="s">
        <v>123</v>
      </c>
      <c r="B21" s="5" t="s">
        <v>8</v>
      </c>
      <c r="C21" s="19" t="s">
        <v>124</v>
      </c>
      <c r="D21" s="7" t="s">
        <v>125</v>
      </c>
      <c r="E21" s="8" t="s">
        <v>126</v>
      </c>
      <c r="F21" s="8" t="s">
        <v>127</v>
      </c>
      <c r="G21" s="14" t="s">
        <v>128</v>
      </c>
    </row>
  </sheetData>
  <dataValidations>
    <dataValidation type="list" allowBlank="1" sqref="B2:B21">
      <formula1>"Collettivo,Spazio occupato,Informali,Coordinamento,Associazione,Realtà autogestita"</formula1>
    </dataValidation>
    <dataValidation allowBlank="1" showDropDown="1" sqref="E2:F21"/>
  </dataValidations>
  <hyperlinks>
    <hyperlink r:id="rId1" ref="C2"/>
    <hyperlink r:id="rId2" ref="G2"/>
    <hyperlink r:id="rId3" ref="C3"/>
    <hyperlink r:id="rId4" ref="G3"/>
    <hyperlink r:id="rId5" ref="C4"/>
    <hyperlink r:id="rId6" ref="G4"/>
    <hyperlink r:id="rId7" ref="C5"/>
    <hyperlink r:id="rId8" ref="G5"/>
    <hyperlink r:id="rId9" ref="C6"/>
    <hyperlink r:id="rId10" ref="G6"/>
    <hyperlink r:id="rId11" ref="C7"/>
    <hyperlink r:id="rId12" ref="G7"/>
    <hyperlink r:id="rId13" ref="C8"/>
    <hyperlink r:id="rId14" ref="G8"/>
    <hyperlink r:id="rId15" ref="C9"/>
    <hyperlink r:id="rId16" ref="G9"/>
    <hyperlink r:id="rId17" ref="C10"/>
    <hyperlink r:id="rId18" ref="G10"/>
    <hyperlink r:id="rId19" ref="C11"/>
    <hyperlink r:id="rId20" ref="G11"/>
    <hyperlink r:id="rId21" ref="C12"/>
    <hyperlink r:id="rId22" ref="G12"/>
    <hyperlink r:id="rId23" ref="C13"/>
    <hyperlink r:id="rId24" ref="G13"/>
    <hyperlink r:id="rId25" ref="C14"/>
    <hyperlink r:id="rId26" ref="G14"/>
    <hyperlink r:id="rId27" ref="C15"/>
    <hyperlink r:id="rId28" ref="G15"/>
    <hyperlink r:id="rId29" ref="C16"/>
    <hyperlink r:id="rId30" ref="G16"/>
    <hyperlink r:id="rId31" ref="C17"/>
    <hyperlink r:id="rId32" ref="G17"/>
    <hyperlink r:id="rId33" ref="C18"/>
    <hyperlink r:id="rId34" ref="G18"/>
    <hyperlink r:id="rId35" ref="C19"/>
    <hyperlink r:id="rId36" ref="G19"/>
    <hyperlink r:id="rId37" ref="C20"/>
    <hyperlink r:id="rId38" ref="G20"/>
    <hyperlink r:id="rId39" ref="C21"/>
    <hyperlink r:id="rId40" ref="G21"/>
  </hyperlinks>
  <drawing r:id="rId41"/>
  <tableParts count="1">
    <tablePart r:id="rId4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0"/>
    <col customWidth="1" min="2" max="2" width="15.88"/>
    <col customWidth="1" min="3" max="3" width="21.88"/>
    <col customWidth="1" min="4" max="4" width="25.38"/>
    <col customWidth="1" min="5" max="5" width="44.5"/>
    <col customWidth="1" min="6" max="6" width="12.5"/>
    <col customWidth="1" min="7" max="7" width="26.0"/>
    <col customWidth="1" min="8" max="8" width="36.75"/>
    <col customWidth="1" min="9" max="9" width="15.25"/>
    <col customWidth="1" min="10" max="10" width="17.5"/>
  </cols>
  <sheetData>
    <row r="1" ht="22.5" customHeight="1">
      <c r="A1" s="1" t="s">
        <v>0</v>
      </c>
      <c r="B1" s="1" t="s">
        <v>1</v>
      </c>
      <c r="C1" s="20" t="s">
        <v>129</v>
      </c>
      <c r="D1" s="1" t="s">
        <v>130</v>
      </c>
      <c r="E1" s="1" t="s">
        <v>131</v>
      </c>
      <c r="F1" s="21" t="s">
        <v>132</v>
      </c>
      <c r="G1" s="22" t="s">
        <v>133</v>
      </c>
      <c r="H1" s="1" t="s">
        <v>134</v>
      </c>
      <c r="I1" s="2" t="s">
        <v>4</v>
      </c>
      <c r="J1" s="2" t="s">
        <v>5</v>
      </c>
    </row>
    <row r="2" ht="45.0" customHeight="1">
      <c r="A2" s="23" t="s">
        <v>135</v>
      </c>
      <c r="B2" s="24" t="s">
        <v>136</v>
      </c>
      <c r="C2" s="25" t="s">
        <v>137</v>
      </c>
      <c r="D2" s="26" t="s">
        <v>138</v>
      </c>
      <c r="E2" s="27" t="s">
        <v>139</v>
      </c>
      <c r="F2" s="28">
        <v>59.0</v>
      </c>
      <c r="G2" s="29" t="s">
        <v>140</v>
      </c>
      <c r="H2" s="30"/>
      <c r="I2" s="31" t="s">
        <v>141</v>
      </c>
      <c r="J2" s="31" t="s">
        <v>142</v>
      </c>
    </row>
    <row r="3" ht="45.0" customHeight="1">
      <c r="A3" s="32" t="s">
        <v>143</v>
      </c>
      <c r="B3" s="11" t="s">
        <v>136</v>
      </c>
      <c r="C3" s="33" t="s">
        <v>144</v>
      </c>
      <c r="D3" s="34" t="s">
        <v>145</v>
      </c>
      <c r="E3" s="34" t="s">
        <v>146</v>
      </c>
      <c r="F3" s="35">
        <v>186.0</v>
      </c>
      <c r="G3" s="36" t="s">
        <v>147</v>
      </c>
      <c r="H3" s="37"/>
      <c r="I3" s="38" t="s">
        <v>148</v>
      </c>
      <c r="J3" s="38" t="s">
        <v>149</v>
      </c>
    </row>
    <row r="4" ht="45.0" customHeight="1">
      <c r="A4" s="39" t="s">
        <v>150</v>
      </c>
      <c r="B4" s="11" t="s">
        <v>136</v>
      </c>
      <c r="C4" s="33" t="str">
        <f>HYPERLINK("https://maps.app.goo.gl/ndBGugZ68f6Xb88S8", "Nuovi Istituti Biologici")</f>
        <v>Nuovi Istituti Biologici</v>
      </c>
      <c r="D4" s="34" t="s">
        <v>151</v>
      </c>
      <c r="E4" s="34" t="s">
        <v>152</v>
      </c>
      <c r="F4" s="35">
        <v>70.0</v>
      </c>
      <c r="G4" s="40"/>
      <c r="H4" s="33" t="s">
        <v>153</v>
      </c>
      <c r="I4" s="41" t="s">
        <v>154</v>
      </c>
      <c r="J4" s="41" t="s">
        <v>155</v>
      </c>
    </row>
    <row r="5" ht="45.0" customHeight="1">
      <c r="A5" s="32" t="s">
        <v>156</v>
      </c>
      <c r="B5" s="11" t="s">
        <v>157</v>
      </c>
      <c r="C5" s="42" t="s">
        <v>158</v>
      </c>
      <c r="D5" s="34" t="s">
        <v>159</v>
      </c>
      <c r="E5" s="34" t="s">
        <v>160</v>
      </c>
      <c r="F5" s="43">
        <v>82.0</v>
      </c>
      <c r="G5" s="44" t="s">
        <v>161</v>
      </c>
      <c r="H5" s="34"/>
      <c r="I5" s="38" t="s">
        <v>162</v>
      </c>
      <c r="J5" s="38" t="s">
        <v>163</v>
      </c>
    </row>
    <row r="6" ht="45.0" customHeight="1">
      <c r="A6" s="32" t="s">
        <v>164</v>
      </c>
      <c r="B6" s="11" t="s">
        <v>157</v>
      </c>
      <c r="C6" s="45" t="s">
        <v>165</v>
      </c>
      <c r="D6" s="34" t="s">
        <v>166</v>
      </c>
      <c r="E6" s="34" t="s">
        <v>167</v>
      </c>
      <c r="F6" s="43">
        <v>92.0</v>
      </c>
      <c r="G6" s="44" t="s">
        <v>164</v>
      </c>
      <c r="H6" s="34"/>
      <c r="I6" s="38" t="s">
        <v>168</v>
      </c>
      <c r="J6" s="38" t="s">
        <v>169</v>
      </c>
    </row>
    <row r="7" ht="45.0" customHeight="1">
      <c r="A7" s="32" t="s">
        <v>170</v>
      </c>
      <c r="B7" s="11" t="s">
        <v>157</v>
      </c>
      <c r="C7" s="42" t="str">
        <f>HYPERLINK("https://maps.app.goo.gl/hs786LV1VnGRdgcs8", "Dipartimento di Lingue")</f>
        <v>Dipartimento di Lingue</v>
      </c>
      <c r="D7" s="34" t="s">
        <v>171</v>
      </c>
      <c r="E7" s="34" t="s">
        <v>172</v>
      </c>
      <c r="F7" s="43">
        <v>10.0</v>
      </c>
      <c r="G7" s="44" t="str">
        <f>HYPERLINK("https://www.uniba.it/it/bibliotechecentri/sistema-bibliotecario/biblioteche-1/polo-umanistico/lingue   ", "Lingue e Letterature Straniere")</f>
        <v>Lingue e Letterature Straniere</v>
      </c>
      <c r="H7" s="34"/>
      <c r="I7" s="38" t="s">
        <v>173</v>
      </c>
      <c r="J7" s="38" t="s">
        <v>174</v>
      </c>
    </row>
    <row r="8" ht="45.0" customHeight="1">
      <c r="A8" s="32" t="s">
        <v>175</v>
      </c>
      <c r="B8" s="11" t="s">
        <v>157</v>
      </c>
      <c r="C8" s="42" t="s">
        <v>176</v>
      </c>
      <c r="D8" s="34" t="s">
        <v>177</v>
      </c>
      <c r="E8" s="34" t="s">
        <v>178</v>
      </c>
      <c r="F8" s="43">
        <v>40.0</v>
      </c>
      <c r="G8" s="44" t="str">
        <f>HYPERLINK("https://anagrafe.iccu.sbn.it/it/ricerca/dettaglio.html?codice_isil=IT-BA0287", "Biblioteca di Lingua e Tradizioni Culturali Europee")</f>
        <v>Biblioteca di Lingua e Tradizioni Culturali Europee</v>
      </c>
      <c r="H8" s="34"/>
      <c r="I8" s="38" t="s">
        <v>179</v>
      </c>
      <c r="J8" s="38" t="s">
        <v>180</v>
      </c>
    </row>
    <row r="9" ht="45.0" customHeight="1">
      <c r="A9" s="32" t="s">
        <v>181</v>
      </c>
      <c r="B9" s="11" t="s">
        <v>157</v>
      </c>
      <c r="C9" s="42" t="s">
        <v>176</v>
      </c>
      <c r="D9" s="34" t="s">
        <v>182</v>
      </c>
      <c r="E9" s="34" t="s">
        <v>178</v>
      </c>
      <c r="F9" s="43">
        <v>20.0</v>
      </c>
      <c r="G9" s="44" t="s">
        <v>183</v>
      </c>
      <c r="H9" s="34"/>
      <c r="I9" s="38" t="s">
        <v>184</v>
      </c>
      <c r="J9" s="38" t="s">
        <v>185</v>
      </c>
    </row>
    <row r="10" ht="45.0" customHeight="1">
      <c r="A10" s="32" t="s">
        <v>186</v>
      </c>
      <c r="B10" s="11" t="s">
        <v>157</v>
      </c>
      <c r="C10" s="42" t="s">
        <v>176</v>
      </c>
      <c r="D10" s="34" t="s">
        <v>187</v>
      </c>
      <c r="E10" s="34" t="s">
        <v>188</v>
      </c>
      <c r="F10" s="43">
        <v>82.0</v>
      </c>
      <c r="G10" s="42" t="str">
        <f>HYPERLINK("https://www.uniba.it/it/bibliotechecentri/biblioteca-ateneo/portlet-dx-biblioteca-antonio-corsano", "Biblioteca Corsano")</f>
        <v>Biblioteca Corsano</v>
      </c>
      <c r="H10" s="34"/>
      <c r="I10" s="38" t="s">
        <v>189</v>
      </c>
      <c r="J10" s="38" t="s">
        <v>190</v>
      </c>
    </row>
    <row r="11" ht="45.0" customHeight="1">
      <c r="A11" s="32" t="s">
        <v>191</v>
      </c>
      <c r="B11" s="11" t="s">
        <v>157</v>
      </c>
      <c r="C11" s="42" t="str">
        <f>HYPERLINK("https://maps.app.goo.gl/XcjM8X8LXSYYdH9d6", "Dipartimento ricerca e innovazione umanistica")</f>
        <v>Dipartimento ricerca e innovazione umanistica</v>
      </c>
      <c r="D11" s="34" t="s">
        <v>192</v>
      </c>
      <c r="E11" s="34" t="s">
        <v>193</v>
      </c>
      <c r="F11" s="43">
        <v>50.0</v>
      </c>
      <c r="G11" s="44" t="s">
        <v>194</v>
      </c>
      <c r="H11" s="34" t="s">
        <v>195</v>
      </c>
      <c r="I11" s="38" t="s">
        <v>196</v>
      </c>
      <c r="J11" s="38" t="s">
        <v>197</v>
      </c>
    </row>
    <row r="12" ht="45.0" customHeight="1">
      <c r="A12" s="32" t="s">
        <v>198</v>
      </c>
      <c r="B12" s="11" t="s">
        <v>157</v>
      </c>
      <c r="C12" s="42" t="s">
        <v>176</v>
      </c>
      <c r="D12" s="46" t="s">
        <v>199</v>
      </c>
      <c r="E12" s="34" t="s">
        <v>178</v>
      </c>
      <c r="F12" s="43">
        <v>36.0</v>
      </c>
      <c r="G12" s="44" t="s">
        <v>200</v>
      </c>
      <c r="H12" s="37"/>
      <c r="I12" s="38" t="s">
        <v>201</v>
      </c>
      <c r="J12" s="38" t="s">
        <v>202</v>
      </c>
    </row>
    <row r="13" ht="45.0" customHeight="1">
      <c r="A13" s="47" t="s">
        <v>203</v>
      </c>
      <c r="B13" s="5" t="s">
        <v>157</v>
      </c>
      <c r="C13" s="33" t="str">
        <f>HYPERLINK("https://maps.app.goo.gl/BBpmwfh8Y5ByDeAr9", "Centro Polifunzionale Studenti")</f>
        <v>Centro Polifunzionale Studenti</v>
      </c>
      <c r="D13" s="48" t="s">
        <v>204</v>
      </c>
      <c r="E13" s="49" t="s">
        <v>205</v>
      </c>
      <c r="F13" s="35">
        <v>50.0</v>
      </c>
      <c r="G13" s="36" t="s">
        <v>206</v>
      </c>
      <c r="H13" s="49"/>
      <c r="I13" s="38" t="s">
        <v>207</v>
      </c>
      <c r="J13" s="38" t="s">
        <v>208</v>
      </c>
    </row>
    <row r="14" ht="45.0" customHeight="1">
      <c r="A14" s="47" t="s">
        <v>209</v>
      </c>
      <c r="B14" s="5" t="s">
        <v>157</v>
      </c>
      <c r="C14" s="50" t="str">
        <f t="shared" ref="C14:C15" si="1">HYPERLINK("https://maps.app.goo.gl/Jjq8Zsscgv3yXrap9", "Palazzo Chiaia-Napolitano")</f>
        <v>Palazzo Chiaia-Napolitano</v>
      </c>
      <c r="D14" s="48" t="s">
        <v>210</v>
      </c>
      <c r="E14" s="49" t="s">
        <v>211</v>
      </c>
      <c r="F14" s="35">
        <v>48.0</v>
      </c>
      <c r="G14" s="36" t="str">
        <f t="shared" ref="G14:G15" si="2">HYPERLINK("https://www.uniba.it/it/ricerca/dipartimenti/forpsicom/didattica/aule/ubicazione-aule-dipartimento-forpsicom.pdf/view", "Aule del For.Psi.Com")</f>
        <v>Aule del For.Psi.Com</v>
      </c>
      <c r="H14" s="49"/>
      <c r="I14" s="38" t="s">
        <v>212</v>
      </c>
      <c r="J14" s="38" t="s">
        <v>213</v>
      </c>
    </row>
    <row r="15" ht="45.0" customHeight="1">
      <c r="A15" s="47" t="s">
        <v>214</v>
      </c>
      <c r="B15" s="5" t="s">
        <v>157</v>
      </c>
      <c r="C15" s="50" t="str">
        <f t="shared" si="1"/>
        <v>Palazzo Chiaia-Napolitano</v>
      </c>
      <c r="D15" s="48" t="s">
        <v>215</v>
      </c>
      <c r="E15" s="49" t="s">
        <v>211</v>
      </c>
      <c r="F15" s="35">
        <v>28.0</v>
      </c>
      <c r="G15" s="36" t="str">
        <f t="shared" si="2"/>
        <v>Aule del For.Psi.Com</v>
      </c>
      <c r="H15" s="49"/>
      <c r="I15" s="38" t="s">
        <v>216</v>
      </c>
      <c r="J15" s="38" t="s">
        <v>217</v>
      </c>
    </row>
    <row r="16" ht="45.0" customHeight="1">
      <c r="A16" s="47" t="s">
        <v>218</v>
      </c>
      <c r="B16" s="5" t="s">
        <v>157</v>
      </c>
      <c r="C16" s="50" t="str">
        <f>HYPERLINK("https://maps.app.goo.gl/hs786LV1VnGRdgcs8", "Dipartimento di Lingue")</f>
        <v>Dipartimento di Lingue</v>
      </c>
      <c r="D16" s="48" t="s">
        <v>219</v>
      </c>
      <c r="E16" s="49" t="s">
        <v>172</v>
      </c>
      <c r="F16" s="35">
        <v>75.0</v>
      </c>
      <c r="G16" s="51"/>
      <c r="H16" s="49" t="s">
        <v>220</v>
      </c>
      <c r="I16" s="38" t="s">
        <v>221</v>
      </c>
      <c r="J16" s="38" t="s">
        <v>222</v>
      </c>
    </row>
    <row r="17" ht="45.0" customHeight="1">
      <c r="A17" s="52" t="s">
        <v>223</v>
      </c>
      <c r="B17" s="11" t="s">
        <v>157</v>
      </c>
      <c r="C17" s="33" t="str">
        <f t="shared" ref="C17:C20" si="3">HYPERLINK("https://maps.app.goo.gl/QbcB1wvVNG5voAKz8", "Dipartimento di Giurisprudenza")</f>
        <v>Dipartimento di Giurisprudenza</v>
      </c>
      <c r="D17" s="49" t="s">
        <v>224</v>
      </c>
      <c r="E17" s="34" t="s">
        <v>225</v>
      </c>
      <c r="F17" s="43">
        <v>70.0</v>
      </c>
      <c r="G17" s="44" t="s">
        <v>226</v>
      </c>
      <c r="H17" s="34"/>
      <c r="I17" s="38" t="s">
        <v>227</v>
      </c>
      <c r="J17" s="38" t="s">
        <v>228</v>
      </c>
    </row>
    <row r="18" ht="45.0" customHeight="1">
      <c r="A18" s="52" t="s">
        <v>229</v>
      </c>
      <c r="B18" s="11" t="s">
        <v>157</v>
      </c>
      <c r="C18" s="33" t="str">
        <f t="shared" si="3"/>
        <v>Dipartimento di Giurisprudenza</v>
      </c>
      <c r="D18" s="49" t="s">
        <v>230</v>
      </c>
      <c r="E18" s="34" t="s">
        <v>225</v>
      </c>
      <c r="F18" s="43">
        <v>60.0</v>
      </c>
      <c r="G18" s="44" t="str">
        <f t="shared" ref="G18:G20" si="4">HYPERLINK("https://www.uniba.it/it/bibliotechecentri/sistema-bibliotecario/biblioteche-1/biblioteca/sale-studio-1/sale-studio", "Sale studio di Giurisprudenza")</f>
        <v>Sale studio di Giurisprudenza</v>
      </c>
      <c r="H18" s="34"/>
      <c r="I18" s="38" t="s">
        <v>231</v>
      </c>
      <c r="J18" s="38" t="s">
        <v>232</v>
      </c>
    </row>
    <row r="19" ht="45.0" customHeight="1">
      <c r="A19" s="52" t="s">
        <v>233</v>
      </c>
      <c r="B19" s="11" t="s">
        <v>157</v>
      </c>
      <c r="C19" s="33" t="str">
        <f t="shared" si="3"/>
        <v>Dipartimento di Giurisprudenza</v>
      </c>
      <c r="D19" s="49" t="s">
        <v>234</v>
      </c>
      <c r="E19" s="34" t="s">
        <v>235</v>
      </c>
      <c r="F19" s="43">
        <v>40.0</v>
      </c>
      <c r="G19" s="44" t="str">
        <f t="shared" si="4"/>
        <v>Sale studio di Giurisprudenza</v>
      </c>
      <c r="H19" s="34"/>
      <c r="I19" s="38" t="s">
        <v>236</v>
      </c>
      <c r="J19" s="38" t="s">
        <v>237</v>
      </c>
    </row>
    <row r="20" ht="45.0" customHeight="1">
      <c r="A20" s="52" t="s">
        <v>238</v>
      </c>
      <c r="B20" s="11" t="s">
        <v>157</v>
      </c>
      <c r="C20" s="33" t="str">
        <f t="shared" si="3"/>
        <v>Dipartimento di Giurisprudenza</v>
      </c>
      <c r="D20" s="49" t="s">
        <v>239</v>
      </c>
      <c r="E20" s="34" t="s">
        <v>225</v>
      </c>
      <c r="F20" s="43">
        <v>50.0</v>
      </c>
      <c r="G20" s="44" t="str">
        <f t="shared" si="4"/>
        <v>Sale studio di Giurisprudenza</v>
      </c>
      <c r="H20" s="34"/>
      <c r="I20" s="38" t="s">
        <v>240</v>
      </c>
      <c r="J20" s="38" t="s">
        <v>241</v>
      </c>
    </row>
    <row r="21" ht="45.0" customHeight="1">
      <c r="A21" s="53" t="s">
        <v>242</v>
      </c>
      <c r="B21" s="11" t="s">
        <v>157</v>
      </c>
      <c r="C21" s="48" t="s">
        <v>243</v>
      </c>
      <c r="D21" s="49" t="s">
        <v>239</v>
      </c>
      <c r="E21" s="34" t="s">
        <v>211</v>
      </c>
      <c r="F21" s="43">
        <v>20.0</v>
      </c>
      <c r="G21" s="54" t="s">
        <v>244</v>
      </c>
      <c r="H21" s="34"/>
      <c r="I21" s="38" t="s">
        <v>245</v>
      </c>
      <c r="J21" s="38" t="s">
        <v>246</v>
      </c>
      <c r="L21" s="55"/>
    </row>
    <row r="22" ht="45.0" customHeight="1">
      <c r="A22" s="52" t="s">
        <v>247</v>
      </c>
      <c r="B22" s="11" t="s">
        <v>157</v>
      </c>
      <c r="C22" s="33" t="str">
        <f t="shared" ref="C22:C26" si="5">HYPERLINK("https://maps.app.goo.gl/QbcB1wvVNG5voAKz8", "Dipartimento di Giurisprudenza")</f>
        <v>Dipartimento di Giurisprudenza</v>
      </c>
      <c r="D22" s="49" t="s">
        <v>248</v>
      </c>
      <c r="E22" s="34" t="s">
        <v>225</v>
      </c>
      <c r="F22" s="43">
        <v>28.0</v>
      </c>
      <c r="G22" s="44" t="str">
        <f t="shared" ref="G22:G26" si="6">HYPERLINK("https://www.uniba.it/it/bibliotechecentri/sistema-bibliotecario/biblioteche-1/biblioteca/sale-studio-1/sale-studio", "Sale studio di Giurisprudenza")</f>
        <v>Sale studio di Giurisprudenza</v>
      </c>
      <c r="H22" s="34"/>
      <c r="I22" s="38" t="s">
        <v>240</v>
      </c>
      <c r="J22" s="38" t="s">
        <v>241</v>
      </c>
    </row>
    <row r="23" ht="45.0" customHeight="1">
      <c r="A23" s="52" t="s">
        <v>249</v>
      </c>
      <c r="B23" s="11" t="s">
        <v>157</v>
      </c>
      <c r="C23" s="33" t="str">
        <f t="shared" si="5"/>
        <v>Dipartimento di Giurisprudenza</v>
      </c>
      <c r="D23" s="49" t="s">
        <v>250</v>
      </c>
      <c r="E23" s="34" t="s">
        <v>211</v>
      </c>
      <c r="F23" s="43">
        <v>48.0</v>
      </c>
      <c r="G23" s="44" t="str">
        <f t="shared" si="6"/>
        <v>Sale studio di Giurisprudenza</v>
      </c>
      <c r="H23" s="34"/>
      <c r="I23" s="38" t="s">
        <v>240</v>
      </c>
      <c r="J23" s="38" t="s">
        <v>241</v>
      </c>
    </row>
    <row r="24" ht="45.0" customHeight="1">
      <c r="A24" s="52" t="s">
        <v>251</v>
      </c>
      <c r="B24" s="11" t="s">
        <v>157</v>
      </c>
      <c r="C24" s="33" t="str">
        <f t="shared" si="5"/>
        <v>Dipartimento di Giurisprudenza</v>
      </c>
      <c r="D24" s="49" t="s">
        <v>250</v>
      </c>
      <c r="E24" s="34" t="s">
        <v>225</v>
      </c>
      <c r="F24" s="43">
        <v>24.0</v>
      </c>
      <c r="G24" s="44" t="str">
        <f t="shared" si="6"/>
        <v>Sale studio di Giurisprudenza</v>
      </c>
      <c r="H24" s="34"/>
      <c r="I24" s="38" t="s">
        <v>240</v>
      </c>
      <c r="J24" s="38" t="s">
        <v>241</v>
      </c>
    </row>
    <row r="25" ht="45.0" customHeight="1">
      <c r="A25" s="52" t="s">
        <v>252</v>
      </c>
      <c r="B25" s="11" t="s">
        <v>157</v>
      </c>
      <c r="C25" s="33" t="str">
        <f t="shared" si="5"/>
        <v>Dipartimento di Giurisprudenza</v>
      </c>
      <c r="D25" s="49" t="s">
        <v>250</v>
      </c>
      <c r="E25" s="34" t="s">
        <v>225</v>
      </c>
      <c r="F25" s="43" t="s">
        <v>253</v>
      </c>
      <c r="G25" s="44" t="str">
        <f t="shared" si="6"/>
        <v>Sale studio di Giurisprudenza</v>
      </c>
      <c r="H25" s="34"/>
      <c r="I25" s="38" t="s">
        <v>240</v>
      </c>
      <c r="J25" s="38" t="s">
        <v>241</v>
      </c>
    </row>
    <row r="26" ht="45.0" customHeight="1">
      <c r="A26" s="52" t="s">
        <v>254</v>
      </c>
      <c r="B26" s="11" t="s">
        <v>157</v>
      </c>
      <c r="C26" s="33" t="str">
        <f t="shared" si="5"/>
        <v>Dipartimento di Giurisprudenza</v>
      </c>
      <c r="D26" s="49" t="s">
        <v>250</v>
      </c>
      <c r="E26" s="34" t="s">
        <v>225</v>
      </c>
      <c r="F26" s="43"/>
      <c r="G26" s="44" t="str">
        <f t="shared" si="6"/>
        <v>Sale studio di Giurisprudenza</v>
      </c>
      <c r="H26" s="34"/>
      <c r="I26" s="38" t="s">
        <v>240</v>
      </c>
      <c r="J26" s="38" t="s">
        <v>241</v>
      </c>
    </row>
    <row r="27" ht="45.0" customHeight="1">
      <c r="A27" s="56" t="s">
        <v>255</v>
      </c>
      <c r="B27" s="11" t="s">
        <v>157</v>
      </c>
      <c r="C27" s="48" t="s">
        <v>243</v>
      </c>
      <c r="D27" s="49" t="s">
        <v>256</v>
      </c>
      <c r="E27" s="34" t="s">
        <v>257</v>
      </c>
      <c r="F27" s="43">
        <v>40.0</v>
      </c>
      <c r="G27" s="54" t="s">
        <v>244</v>
      </c>
      <c r="H27" s="34"/>
      <c r="I27" s="38" t="s">
        <v>245</v>
      </c>
      <c r="J27" s="38" t="s">
        <v>246</v>
      </c>
    </row>
    <row r="28" ht="45.0" customHeight="1">
      <c r="A28" s="56" t="s">
        <v>258</v>
      </c>
      <c r="B28" s="11" t="s">
        <v>157</v>
      </c>
      <c r="C28" s="48" t="s">
        <v>243</v>
      </c>
      <c r="D28" s="49" t="s">
        <v>259</v>
      </c>
      <c r="E28" s="34" t="s">
        <v>257</v>
      </c>
      <c r="F28" s="43">
        <v>20.0</v>
      </c>
      <c r="G28" s="57" t="s">
        <v>244</v>
      </c>
      <c r="H28" s="34"/>
      <c r="I28" s="38" t="s">
        <v>245</v>
      </c>
      <c r="J28" s="38" t="s">
        <v>246</v>
      </c>
    </row>
    <row r="29" ht="45.0" customHeight="1">
      <c r="A29" s="32" t="s">
        <v>260</v>
      </c>
      <c r="B29" s="11" t="s">
        <v>261</v>
      </c>
      <c r="C29" s="42" t="str">
        <f>HYPERLINK("https://maps.app.goo.gl/R6aswGUrZLP1aSYx9", "Biblioteca Michele Brucoli")</f>
        <v>Biblioteca Michele Brucoli</v>
      </c>
      <c r="D29" s="34" t="s">
        <v>262</v>
      </c>
      <c r="E29" s="34" t="s">
        <v>263</v>
      </c>
      <c r="F29" s="43" t="s">
        <v>264</v>
      </c>
      <c r="G29" s="42" t="s">
        <v>265</v>
      </c>
      <c r="H29" s="34" t="s">
        <v>266</v>
      </c>
      <c r="I29" s="58" t="s">
        <v>267</v>
      </c>
      <c r="J29" s="38" t="s">
        <v>268</v>
      </c>
    </row>
    <row r="30" ht="45.0" customHeight="1">
      <c r="A30" s="32" t="s">
        <v>269</v>
      </c>
      <c r="B30" s="11" t="s">
        <v>261</v>
      </c>
      <c r="C30" s="42" t="str">
        <f t="shared" ref="C30:C31" si="7">HYPERLINK("https://maps.app.goo.gl/WJgKYhKMLCxkDzyz8", "Student Center")</f>
        <v>Student Center</v>
      </c>
      <c r="D30" s="34" t="s">
        <v>270</v>
      </c>
      <c r="E30" s="34" t="s">
        <v>271</v>
      </c>
      <c r="F30" s="43">
        <v>148.0</v>
      </c>
      <c r="G30" s="44" t="s">
        <v>272</v>
      </c>
      <c r="H30" s="34" t="s">
        <v>273</v>
      </c>
      <c r="I30" s="38" t="s">
        <v>274</v>
      </c>
      <c r="J30" s="38" t="s">
        <v>275</v>
      </c>
    </row>
    <row r="31" ht="45.0" customHeight="1">
      <c r="A31" s="32" t="s">
        <v>276</v>
      </c>
      <c r="B31" s="11" t="s">
        <v>261</v>
      </c>
      <c r="C31" s="42" t="str">
        <f t="shared" si="7"/>
        <v>Student Center</v>
      </c>
      <c r="D31" s="34" t="s">
        <v>277</v>
      </c>
      <c r="E31" s="34" t="s">
        <v>271</v>
      </c>
      <c r="F31" s="43">
        <v>96.0</v>
      </c>
      <c r="G31" s="44" t="s">
        <v>272</v>
      </c>
      <c r="H31" s="34" t="s">
        <v>273</v>
      </c>
      <c r="I31" s="38" t="s">
        <v>278</v>
      </c>
      <c r="J31" s="38" t="s">
        <v>279</v>
      </c>
    </row>
    <row r="32" ht="45.0" customHeight="1">
      <c r="A32" s="32" t="s">
        <v>280</v>
      </c>
      <c r="B32" s="11" t="s">
        <v>261</v>
      </c>
      <c r="C32" s="42" t="str">
        <f>HYPERLINK("https://maps.app.goo.gl/PaqY8qonwNho5gpq7", "Poli-Library")</f>
        <v>Poli-Library</v>
      </c>
      <c r="D32" s="34" t="s">
        <v>281</v>
      </c>
      <c r="E32" s="34" t="s">
        <v>282</v>
      </c>
      <c r="F32" s="43" t="s">
        <v>283</v>
      </c>
      <c r="G32" s="44" t="s">
        <v>284</v>
      </c>
      <c r="H32" s="32" t="s">
        <v>285</v>
      </c>
      <c r="I32" s="59" t="s">
        <v>286</v>
      </c>
      <c r="J32" s="59" t="s">
        <v>287</v>
      </c>
    </row>
    <row r="33" ht="45.0" customHeight="1">
      <c r="A33" s="32" t="s">
        <v>288</v>
      </c>
      <c r="B33" s="11" t="s">
        <v>157</v>
      </c>
      <c r="C33" s="60" t="str">
        <f>HYPERLINK("https://maps.app.goo.gl/ViB7sanzdLKDW71w9", "Sede di Economia")</f>
        <v>Sede di Economia</v>
      </c>
      <c r="D33" s="34" t="s">
        <v>234</v>
      </c>
      <c r="E33" s="34" t="s">
        <v>289</v>
      </c>
      <c r="F33" s="43">
        <v>50.0</v>
      </c>
      <c r="G33" s="44" t="str">
        <f>HYPERLINK("https://www.uniba.it/it/bibliotechecentri/economia", "Biblioteca Centrale Economia")</f>
        <v>Biblioteca Centrale Economia</v>
      </c>
      <c r="H33" s="32"/>
      <c r="I33" s="38" t="s">
        <v>290</v>
      </c>
      <c r="J33" s="38" t="s">
        <v>291</v>
      </c>
    </row>
    <row r="34" ht="45.0" customHeight="1">
      <c r="A34" s="32" t="s">
        <v>292</v>
      </c>
      <c r="B34" s="11" t="s">
        <v>293</v>
      </c>
      <c r="C34" s="42" t="str">
        <f>HYPERLINK("https://maps.app.goo.gl/t99EaeByLgcp12mc9", "Dipartimento di Matematica")</f>
        <v>Dipartimento di Matematica</v>
      </c>
      <c r="D34" s="34" t="s">
        <v>294</v>
      </c>
      <c r="E34" s="34" t="s">
        <v>295</v>
      </c>
      <c r="F34" s="43">
        <v>100.0</v>
      </c>
      <c r="G34" s="44" t="s">
        <v>296</v>
      </c>
      <c r="H34" s="34" t="s">
        <v>297</v>
      </c>
      <c r="I34" s="38" t="s">
        <v>298</v>
      </c>
      <c r="J34" s="38" t="s">
        <v>299</v>
      </c>
    </row>
    <row r="35" ht="45.0" customHeight="1">
      <c r="A35" s="32" t="s">
        <v>300</v>
      </c>
      <c r="B35" s="11" t="s">
        <v>293</v>
      </c>
      <c r="C35" s="42" t="str">
        <f>HYPERLINK("https://maps.app.goo.gl/yrerzvazEB4bL7XC6", "Dipartimento di Farmacia")</f>
        <v>Dipartimento di Farmacia</v>
      </c>
      <c r="D35" s="34" t="s">
        <v>234</v>
      </c>
      <c r="E35" s="34" t="s">
        <v>301</v>
      </c>
      <c r="F35" s="43">
        <v>85.0</v>
      </c>
      <c r="G35" s="44" t="s">
        <v>302</v>
      </c>
      <c r="H35" s="34"/>
      <c r="I35" s="38" t="s">
        <v>303</v>
      </c>
      <c r="J35" s="38" t="s">
        <v>304</v>
      </c>
    </row>
    <row r="36" ht="45.0" customHeight="1">
      <c r="A36" s="32" t="s">
        <v>305</v>
      </c>
      <c r="B36" s="11" t="s">
        <v>293</v>
      </c>
      <c r="C36" s="42" t="str">
        <f t="shared" ref="C36:C37" si="8">HYPERLINK("https://maps.app.goo.gl/VbGKV75TsCKAdn2D6", "Dipartimento di Scienze della Terra")</f>
        <v>Dipartimento di Scienze della Terra</v>
      </c>
      <c r="D36" s="34" t="s">
        <v>294</v>
      </c>
      <c r="E36" s="34" t="s">
        <v>306</v>
      </c>
      <c r="F36" s="43">
        <v>30.0</v>
      </c>
      <c r="G36" s="44" t="s">
        <v>307</v>
      </c>
      <c r="H36" s="34"/>
      <c r="I36" s="38" t="s">
        <v>308</v>
      </c>
      <c r="J36" s="38" t="s">
        <v>309</v>
      </c>
    </row>
    <row r="37" ht="45.0" customHeight="1">
      <c r="A37" s="32" t="s">
        <v>310</v>
      </c>
      <c r="B37" s="11" t="s">
        <v>293</v>
      </c>
      <c r="C37" s="42" t="str">
        <f t="shared" si="8"/>
        <v>Dipartimento di Scienze della Terra</v>
      </c>
      <c r="D37" s="34" t="s">
        <v>294</v>
      </c>
      <c r="E37" s="34" t="s">
        <v>311</v>
      </c>
      <c r="F37" s="43">
        <v>20.0</v>
      </c>
      <c r="G37" s="61"/>
      <c r="H37" s="34" t="s">
        <v>312</v>
      </c>
      <c r="I37" s="38" t="s">
        <v>313</v>
      </c>
      <c r="J37" s="38" t="s">
        <v>314</v>
      </c>
    </row>
    <row r="38" ht="45.0" customHeight="1">
      <c r="A38" s="32" t="s">
        <v>315</v>
      </c>
      <c r="B38" s="11" t="s">
        <v>293</v>
      </c>
      <c r="C38" s="62" t="str">
        <f t="shared" ref="C38:C40" si="9">HYPERLINK("https://maps.app.goo.gl/XwifCeLKz6uqjRcS8", "Facoltà di Agraria")</f>
        <v>Facoltà di Agraria</v>
      </c>
      <c r="D38" s="34" t="s">
        <v>234</v>
      </c>
      <c r="E38" s="34" t="s">
        <v>316</v>
      </c>
      <c r="F38" s="43">
        <v>40.0</v>
      </c>
      <c r="G38" s="44" t="str">
        <f>HYPERLINK("https://www.uniba.it/it/bibliotechecentri/agraria", "Biblioteca di Agraria")</f>
        <v>Biblioteca di Agraria</v>
      </c>
      <c r="H38" s="34"/>
      <c r="I38" s="38" t="s">
        <v>317</v>
      </c>
      <c r="J38" s="38" t="s">
        <v>318</v>
      </c>
    </row>
    <row r="39" ht="45.0" customHeight="1">
      <c r="A39" s="32" t="s">
        <v>319</v>
      </c>
      <c r="B39" s="11" t="s">
        <v>293</v>
      </c>
      <c r="C39" s="62" t="str">
        <f t="shared" si="9"/>
        <v>Facoltà di Agraria</v>
      </c>
      <c r="D39" s="34" t="s">
        <v>320</v>
      </c>
      <c r="E39" s="34" t="s">
        <v>321</v>
      </c>
      <c r="F39" s="43">
        <v>30.0</v>
      </c>
      <c r="G39" s="61"/>
      <c r="H39" s="34" t="s">
        <v>322</v>
      </c>
      <c r="I39" s="38" t="s">
        <v>323</v>
      </c>
      <c r="J39" s="38" t="s">
        <v>324</v>
      </c>
    </row>
    <row r="40" ht="45.0" customHeight="1">
      <c r="A40" s="32" t="s">
        <v>325</v>
      </c>
      <c r="B40" s="11" t="s">
        <v>293</v>
      </c>
      <c r="C40" s="62" t="str">
        <f t="shared" si="9"/>
        <v>Facoltà di Agraria</v>
      </c>
      <c r="D40" s="34" t="s">
        <v>326</v>
      </c>
      <c r="E40" s="34" t="s">
        <v>327</v>
      </c>
      <c r="F40" s="43">
        <v>10.0</v>
      </c>
      <c r="G40" s="61"/>
      <c r="H40" s="34"/>
      <c r="I40" s="38" t="s">
        <v>328</v>
      </c>
      <c r="J40" s="38" t="s">
        <v>329</v>
      </c>
    </row>
    <row r="41" ht="45.0" customHeight="1">
      <c r="A41" s="32" t="s">
        <v>330</v>
      </c>
      <c r="B41" s="11" t="s">
        <v>293</v>
      </c>
      <c r="C41" s="42" t="str">
        <f>HYPERLINK("https://maps.app.goo.gl/Vh9xiP4GaCzFHMRK6", "Nuovo Palazzo dei Dipartimenti Biologici")</f>
        <v>Nuovo Palazzo dei Dipartimenti Biologici</v>
      </c>
      <c r="D41" s="34" t="s">
        <v>331</v>
      </c>
      <c r="E41" s="34" t="s">
        <v>332</v>
      </c>
      <c r="F41" s="43" t="s">
        <v>333</v>
      </c>
      <c r="G41" s="44" t="s">
        <v>334</v>
      </c>
      <c r="H41" s="34"/>
      <c r="I41" s="38" t="s">
        <v>335</v>
      </c>
      <c r="J41" s="38" t="s">
        <v>336</v>
      </c>
    </row>
    <row r="42" ht="45.0" customHeight="1">
      <c r="A42" s="32" t="s">
        <v>337</v>
      </c>
      <c r="B42" s="11" t="s">
        <v>293</v>
      </c>
      <c r="C42" s="42" t="str">
        <f>HYPERLINK("https://maps.app.goo.gl/hTgF13styztzESPt8", "Vecchi istituti Biologici")</f>
        <v>Vecchi istituti Biologici</v>
      </c>
      <c r="D42" s="34" t="s">
        <v>294</v>
      </c>
      <c r="E42" s="34" t="s">
        <v>295</v>
      </c>
      <c r="F42" s="43" t="s">
        <v>333</v>
      </c>
      <c r="G42" s="44" t="s">
        <v>338</v>
      </c>
      <c r="H42" s="34"/>
      <c r="I42" s="38" t="s">
        <v>339</v>
      </c>
      <c r="J42" s="38" t="s">
        <v>340</v>
      </c>
    </row>
    <row r="43" ht="45.0" customHeight="1">
      <c r="A43" s="32" t="s">
        <v>341</v>
      </c>
      <c r="B43" s="11" t="s">
        <v>293</v>
      </c>
      <c r="C43" s="42" t="str">
        <f t="shared" ref="C43:C44" si="10">HYPERLINK("https://maps.app.goo.gl/a8SLEbK4YEnSvFs29", "Dipartimento di Fisica")</f>
        <v>Dipartimento di Fisica</v>
      </c>
      <c r="D43" s="34" t="s">
        <v>342</v>
      </c>
      <c r="E43" s="34" t="s">
        <v>343</v>
      </c>
      <c r="F43" s="43">
        <v>86.0</v>
      </c>
      <c r="G43" s="44" t="s">
        <v>344</v>
      </c>
      <c r="H43" s="34"/>
      <c r="I43" s="38" t="s">
        <v>345</v>
      </c>
      <c r="J43" s="38" t="s">
        <v>346</v>
      </c>
    </row>
    <row r="44" ht="45.0" customHeight="1">
      <c r="A44" s="32" t="s">
        <v>347</v>
      </c>
      <c r="B44" s="11" t="s">
        <v>293</v>
      </c>
      <c r="C44" s="42" t="str">
        <f t="shared" si="10"/>
        <v>Dipartimento di Fisica</v>
      </c>
      <c r="D44" s="34" t="s">
        <v>348</v>
      </c>
      <c r="E44" s="34" t="s">
        <v>349</v>
      </c>
      <c r="F44" s="43">
        <v>44.0</v>
      </c>
      <c r="G44" s="44" t="s">
        <v>344</v>
      </c>
      <c r="H44" s="34"/>
      <c r="I44" s="38" t="s">
        <v>350</v>
      </c>
      <c r="J44" s="38" t="s">
        <v>351</v>
      </c>
    </row>
    <row r="45" ht="45.0" customHeight="1">
      <c r="A45" s="34" t="s">
        <v>352</v>
      </c>
      <c r="B45" s="11" t="s">
        <v>293</v>
      </c>
      <c r="C45" s="63" t="s">
        <v>353</v>
      </c>
      <c r="D45" s="34" t="s">
        <v>294</v>
      </c>
      <c r="E45" s="34" t="s">
        <v>295</v>
      </c>
      <c r="F45" s="43" t="s">
        <v>333</v>
      </c>
      <c r="G45" s="61"/>
      <c r="H45" s="34" t="s">
        <v>354</v>
      </c>
      <c r="I45" s="38" t="s">
        <v>355</v>
      </c>
      <c r="J45" s="38" t="s">
        <v>356</v>
      </c>
    </row>
    <row r="46" ht="45.0" customHeight="1">
      <c r="A46" s="34" t="s">
        <v>357</v>
      </c>
      <c r="B46" s="11" t="s">
        <v>293</v>
      </c>
      <c r="C46" s="63" t="s">
        <v>353</v>
      </c>
      <c r="D46" s="34" t="s">
        <v>358</v>
      </c>
      <c r="E46" s="34" t="s">
        <v>295</v>
      </c>
      <c r="F46" s="43">
        <v>40.0</v>
      </c>
      <c r="G46" s="61"/>
      <c r="H46" s="34" t="s">
        <v>297</v>
      </c>
      <c r="I46" s="38" t="s">
        <v>359</v>
      </c>
      <c r="J46" s="38" t="s">
        <v>360</v>
      </c>
    </row>
    <row r="47" ht="45.0" customHeight="1">
      <c r="A47" s="34" t="s">
        <v>361</v>
      </c>
      <c r="B47" s="11" t="s">
        <v>293</v>
      </c>
      <c r="C47" s="63" t="s">
        <v>353</v>
      </c>
      <c r="D47" s="34" t="s">
        <v>358</v>
      </c>
      <c r="E47" s="34" t="s">
        <v>295</v>
      </c>
      <c r="F47" s="43">
        <v>30.0</v>
      </c>
      <c r="G47" s="61"/>
      <c r="H47" s="34" t="s">
        <v>362</v>
      </c>
      <c r="I47" s="38" t="s">
        <v>363</v>
      </c>
      <c r="J47" s="38" t="s">
        <v>364</v>
      </c>
    </row>
    <row r="48" ht="45.0" customHeight="1">
      <c r="A48" s="64" t="s">
        <v>365</v>
      </c>
      <c r="B48" s="11" t="s">
        <v>366</v>
      </c>
      <c r="C48" s="64" t="s">
        <v>367</v>
      </c>
      <c r="D48" s="64" t="s">
        <v>368</v>
      </c>
      <c r="E48" s="64" t="s">
        <v>369</v>
      </c>
      <c r="F48" s="65">
        <v>30.0</v>
      </c>
      <c r="G48" s="66" t="s">
        <v>370</v>
      </c>
      <c r="H48" s="37"/>
      <c r="I48" s="38" t="s">
        <v>371</v>
      </c>
      <c r="J48" s="38" t="s">
        <v>372</v>
      </c>
    </row>
    <row r="49" ht="45.0" customHeight="1">
      <c r="A49" s="64" t="s">
        <v>373</v>
      </c>
      <c r="B49" s="11" t="s">
        <v>366</v>
      </c>
      <c r="C49" s="64" t="s">
        <v>374</v>
      </c>
      <c r="D49" s="64" t="s">
        <v>375</v>
      </c>
      <c r="E49" s="64" t="s">
        <v>376</v>
      </c>
      <c r="F49" s="65">
        <v>30.0</v>
      </c>
      <c r="G49" s="66" t="s">
        <v>377</v>
      </c>
      <c r="H49" s="37"/>
      <c r="I49" s="38" t="s">
        <v>378</v>
      </c>
      <c r="J49" s="38" t="s">
        <v>379</v>
      </c>
    </row>
    <row r="50" ht="45.0" customHeight="1">
      <c r="A50" s="64" t="s">
        <v>380</v>
      </c>
      <c r="B50" s="11" t="s">
        <v>366</v>
      </c>
      <c r="C50" s="64" t="s">
        <v>381</v>
      </c>
      <c r="D50" s="64" t="s">
        <v>382</v>
      </c>
      <c r="E50" s="64" t="s">
        <v>383</v>
      </c>
      <c r="F50" s="65" t="s">
        <v>384</v>
      </c>
      <c r="G50" s="66" t="s">
        <v>385</v>
      </c>
      <c r="H50" s="37"/>
      <c r="I50" s="38" t="s">
        <v>386</v>
      </c>
      <c r="J50" s="38" t="s">
        <v>387</v>
      </c>
    </row>
    <row r="51" ht="45.0" customHeight="1">
      <c r="A51" s="64" t="s">
        <v>388</v>
      </c>
      <c r="B51" s="11" t="s">
        <v>366</v>
      </c>
      <c r="C51" s="64" t="s">
        <v>389</v>
      </c>
      <c r="D51" s="64" t="s">
        <v>248</v>
      </c>
      <c r="E51" s="64" t="s">
        <v>390</v>
      </c>
      <c r="F51" s="65">
        <v>20.0</v>
      </c>
      <c r="G51" s="67" t="s">
        <v>391</v>
      </c>
      <c r="H51" s="37"/>
      <c r="I51" s="38" t="s">
        <v>392</v>
      </c>
      <c r="J51" s="38" t="s">
        <v>393</v>
      </c>
    </row>
    <row r="52" ht="45.0" customHeight="1">
      <c r="A52" s="64" t="s">
        <v>394</v>
      </c>
      <c r="B52" s="11" t="s">
        <v>366</v>
      </c>
      <c r="C52" s="64" t="s">
        <v>395</v>
      </c>
      <c r="D52" s="64" t="s">
        <v>396</v>
      </c>
      <c r="E52" s="64" t="s">
        <v>397</v>
      </c>
      <c r="F52" s="65">
        <v>25.0</v>
      </c>
      <c r="G52" s="67" t="s">
        <v>398</v>
      </c>
      <c r="H52" s="37"/>
      <c r="I52" s="38" t="s">
        <v>399</v>
      </c>
      <c r="J52" s="38" t="s">
        <v>400</v>
      </c>
    </row>
    <row r="53" ht="45.0" customHeight="1">
      <c r="A53" s="64" t="s">
        <v>401</v>
      </c>
      <c r="B53" s="11" t="s">
        <v>366</v>
      </c>
      <c r="C53" s="64" t="s">
        <v>402</v>
      </c>
      <c r="D53" s="64" t="s">
        <v>403</v>
      </c>
      <c r="E53" s="64" t="s">
        <v>404</v>
      </c>
      <c r="F53" s="65">
        <v>30.0</v>
      </c>
      <c r="G53" s="67" t="s">
        <v>405</v>
      </c>
      <c r="H53" s="37"/>
      <c r="I53" s="38" t="s">
        <v>406</v>
      </c>
      <c r="J53" s="38" t="s">
        <v>407</v>
      </c>
    </row>
    <row r="54" ht="45.0" customHeight="1">
      <c r="A54" s="64" t="s">
        <v>408</v>
      </c>
      <c r="B54" s="11" t="s">
        <v>366</v>
      </c>
      <c r="C54" s="64" t="s">
        <v>409</v>
      </c>
      <c r="D54" s="64" t="s">
        <v>410</v>
      </c>
      <c r="E54" s="64" t="s">
        <v>411</v>
      </c>
      <c r="F54" s="65">
        <v>15.0</v>
      </c>
      <c r="G54" s="66" t="s">
        <v>412</v>
      </c>
      <c r="H54" s="37"/>
      <c r="I54" s="38" t="s">
        <v>413</v>
      </c>
      <c r="J54" s="38" t="s">
        <v>414</v>
      </c>
    </row>
    <row r="55" ht="45.0" customHeight="1">
      <c r="A55" s="64" t="s">
        <v>415</v>
      </c>
      <c r="B55" s="11" t="s">
        <v>366</v>
      </c>
      <c r="C55" s="64" t="s">
        <v>416</v>
      </c>
      <c r="D55" s="64" t="s">
        <v>417</v>
      </c>
      <c r="E55" s="64" t="s">
        <v>418</v>
      </c>
      <c r="F55" s="65">
        <v>40.0</v>
      </c>
      <c r="G55" s="67" t="s">
        <v>419</v>
      </c>
      <c r="H55" s="37"/>
      <c r="I55" s="38" t="s">
        <v>420</v>
      </c>
      <c r="J55" s="38" t="s">
        <v>421</v>
      </c>
    </row>
    <row r="56" ht="45.0" customHeight="1">
      <c r="A56" s="64" t="s">
        <v>422</v>
      </c>
      <c r="B56" s="11" t="s">
        <v>366</v>
      </c>
      <c r="C56" s="64" t="s">
        <v>416</v>
      </c>
      <c r="D56" s="64" t="s">
        <v>423</v>
      </c>
      <c r="E56" s="64" t="s">
        <v>424</v>
      </c>
      <c r="F56" s="65">
        <v>155.0</v>
      </c>
      <c r="G56" s="67" t="s">
        <v>425</v>
      </c>
      <c r="H56" s="37"/>
      <c r="I56" s="38" t="s">
        <v>426</v>
      </c>
      <c r="J56" s="38" t="s">
        <v>427</v>
      </c>
    </row>
    <row r="57" ht="45.0" customHeight="1">
      <c r="A57" s="64" t="s">
        <v>428</v>
      </c>
      <c r="B57" s="11" t="s">
        <v>366</v>
      </c>
      <c r="C57" s="64" t="s">
        <v>429</v>
      </c>
      <c r="D57" s="64" t="s">
        <v>430</v>
      </c>
      <c r="E57" s="64" t="s">
        <v>431</v>
      </c>
      <c r="F57" s="65">
        <v>60.0</v>
      </c>
      <c r="G57" s="68" t="s">
        <v>432</v>
      </c>
      <c r="H57" s="37"/>
      <c r="I57" s="38" t="s">
        <v>433</v>
      </c>
      <c r="J57" s="38" t="s">
        <v>434</v>
      </c>
    </row>
    <row r="58" ht="45.0" customHeight="1">
      <c r="A58" s="64" t="s">
        <v>435</v>
      </c>
      <c r="B58" s="11" t="s">
        <v>366</v>
      </c>
      <c r="C58" s="64" t="s">
        <v>436</v>
      </c>
      <c r="D58" s="64" t="s">
        <v>437</v>
      </c>
      <c r="E58" s="64" t="s">
        <v>438</v>
      </c>
      <c r="F58" s="65">
        <v>60.0</v>
      </c>
      <c r="G58" s="67" t="s">
        <v>439</v>
      </c>
      <c r="H58" s="37"/>
      <c r="I58" s="38" t="s">
        <v>440</v>
      </c>
      <c r="J58" s="38" t="s">
        <v>441</v>
      </c>
    </row>
    <row r="59" ht="45.0" customHeight="1">
      <c r="A59" s="64" t="s">
        <v>442</v>
      </c>
      <c r="B59" s="69" t="s">
        <v>366</v>
      </c>
      <c r="C59" s="64" t="s">
        <v>443</v>
      </c>
      <c r="D59" s="64" t="s">
        <v>444</v>
      </c>
      <c r="E59" s="64" t="s">
        <v>445</v>
      </c>
      <c r="F59" s="65">
        <v>60.0</v>
      </c>
      <c r="G59" s="67" t="s">
        <v>446</v>
      </c>
      <c r="H59" s="37"/>
      <c r="I59" s="38" t="s">
        <v>447</v>
      </c>
      <c r="J59" s="38" t="s">
        <v>448</v>
      </c>
    </row>
    <row r="60" ht="45.0" customHeight="1">
      <c r="A60" s="64" t="s">
        <v>449</v>
      </c>
      <c r="B60" s="69" t="s">
        <v>366</v>
      </c>
      <c r="C60" s="64" t="s">
        <v>450</v>
      </c>
      <c r="D60" s="64" t="s">
        <v>451</v>
      </c>
      <c r="E60" s="64" t="s">
        <v>452</v>
      </c>
      <c r="F60" s="65">
        <v>20.0</v>
      </c>
      <c r="G60" s="67" t="s">
        <v>453</v>
      </c>
      <c r="H60" s="34" t="s">
        <v>454</v>
      </c>
      <c r="I60" s="38" t="s">
        <v>455</v>
      </c>
      <c r="J60" s="38" t="s">
        <v>456</v>
      </c>
    </row>
    <row r="61" ht="45.0" customHeight="1">
      <c r="A61" s="64" t="s">
        <v>457</v>
      </c>
      <c r="B61" s="69" t="s">
        <v>366</v>
      </c>
      <c r="C61" s="64" t="s">
        <v>458</v>
      </c>
      <c r="D61" s="64" t="s">
        <v>459</v>
      </c>
      <c r="E61" s="64" t="s">
        <v>460</v>
      </c>
      <c r="F61" s="65">
        <v>30.0</v>
      </c>
      <c r="G61" s="67" t="s">
        <v>461</v>
      </c>
      <c r="H61" s="34" t="s">
        <v>454</v>
      </c>
      <c r="I61" s="38" t="s">
        <v>462</v>
      </c>
      <c r="J61" s="38" t="s">
        <v>463</v>
      </c>
    </row>
    <row r="62" ht="45.0" customHeight="1">
      <c r="A62" s="64" t="s">
        <v>464</v>
      </c>
      <c r="B62" s="69" t="s">
        <v>366</v>
      </c>
      <c r="C62" s="64" t="s">
        <v>465</v>
      </c>
      <c r="D62" s="64" t="s">
        <v>466</v>
      </c>
      <c r="E62" s="64" t="s">
        <v>467</v>
      </c>
      <c r="F62" s="65">
        <v>15.0</v>
      </c>
      <c r="G62" s="67" t="s">
        <v>468</v>
      </c>
      <c r="H62" s="37"/>
      <c r="I62" s="38" t="s">
        <v>469</v>
      </c>
      <c r="J62" s="38" t="s">
        <v>470</v>
      </c>
    </row>
    <row r="63" ht="45.0" customHeight="1">
      <c r="A63" s="64" t="s">
        <v>471</v>
      </c>
      <c r="B63" s="69" t="s">
        <v>366</v>
      </c>
      <c r="C63" s="64" t="s">
        <v>472</v>
      </c>
      <c r="D63" s="64" t="s">
        <v>473</v>
      </c>
      <c r="E63" s="64" t="s">
        <v>474</v>
      </c>
      <c r="F63" s="65">
        <v>100.0</v>
      </c>
      <c r="G63" s="67" t="s">
        <v>475</v>
      </c>
      <c r="H63" s="37"/>
      <c r="I63" s="38" t="s">
        <v>476</v>
      </c>
      <c r="J63" s="38" t="s">
        <v>477</v>
      </c>
    </row>
    <row r="64" ht="45.0" customHeight="1">
      <c r="A64" s="64" t="s">
        <v>478</v>
      </c>
      <c r="B64" s="69" t="s">
        <v>366</v>
      </c>
      <c r="C64" s="64" t="s">
        <v>479</v>
      </c>
      <c r="D64" s="64" t="s">
        <v>480</v>
      </c>
      <c r="E64" s="64" t="s">
        <v>481</v>
      </c>
      <c r="F64" s="65">
        <v>30.0</v>
      </c>
      <c r="G64" s="67" t="s">
        <v>482</v>
      </c>
      <c r="H64" s="34" t="s">
        <v>483</v>
      </c>
      <c r="I64" s="38" t="s">
        <v>484</v>
      </c>
      <c r="J64" s="38" t="s">
        <v>485</v>
      </c>
    </row>
    <row r="65" ht="45.0" customHeight="1">
      <c r="A65" s="64" t="s">
        <v>486</v>
      </c>
      <c r="B65" s="69" t="s">
        <v>366</v>
      </c>
      <c r="C65" s="64" t="s">
        <v>487</v>
      </c>
      <c r="D65" s="64" t="s">
        <v>488</v>
      </c>
      <c r="E65" s="64" t="s">
        <v>489</v>
      </c>
      <c r="F65" s="65">
        <v>45.0</v>
      </c>
      <c r="G65" s="67" t="s">
        <v>490</v>
      </c>
      <c r="H65" s="37"/>
      <c r="I65" s="38" t="s">
        <v>491</v>
      </c>
      <c r="J65" s="38" t="s">
        <v>492</v>
      </c>
    </row>
    <row r="66" ht="45.0" customHeight="1">
      <c r="A66" s="64" t="s">
        <v>493</v>
      </c>
      <c r="B66" s="69" t="s">
        <v>366</v>
      </c>
      <c r="C66" s="64" t="s">
        <v>494</v>
      </c>
      <c r="D66" s="64" t="s">
        <v>495</v>
      </c>
      <c r="E66" s="64" t="s">
        <v>496</v>
      </c>
      <c r="F66" s="65">
        <v>80.0</v>
      </c>
      <c r="G66" s="67" t="s">
        <v>497</v>
      </c>
      <c r="H66" s="34" t="s">
        <v>454</v>
      </c>
      <c r="I66" s="38" t="s">
        <v>498</v>
      </c>
      <c r="J66" s="38" t="s">
        <v>499</v>
      </c>
    </row>
    <row r="67" ht="45.0" customHeight="1">
      <c r="A67" s="70" t="s">
        <v>500</v>
      </c>
      <c r="B67" s="69" t="s">
        <v>366</v>
      </c>
      <c r="C67" s="64" t="s">
        <v>501</v>
      </c>
      <c r="D67" s="64" t="s">
        <v>502</v>
      </c>
      <c r="E67" s="64" t="s">
        <v>503</v>
      </c>
      <c r="F67" s="65">
        <v>100.0</v>
      </c>
      <c r="G67" s="68" t="s">
        <v>500</v>
      </c>
      <c r="H67" s="64" t="s">
        <v>504</v>
      </c>
      <c r="I67" s="38"/>
      <c r="J67" s="38"/>
    </row>
    <row r="68" ht="45.0" customHeight="1">
      <c r="A68" s="70" t="s">
        <v>505</v>
      </c>
      <c r="B68" s="69" t="s">
        <v>366</v>
      </c>
      <c r="C68" s="64" t="s">
        <v>506</v>
      </c>
      <c r="D68" s="64" t="s">
        <v>507</v>
      </c>
      <c r="E68" s="64" t="s">
        <v>508</v>
      </c>
      <c r="F68" s="65">
        <v>15.0</v>
      </c>
      <c r="G68" s="71" t="s">
        <v>509</v>
      </c>
      <c r="H68" s="34"/>
      <c r="I68" s="38"/>
      <c r="J68" s="38"/>
    </row>
    <row r="69" ht="45.0" customHeight="1">
      <c r="A69" s="70" t="s">
        <v>510</v>
      </c>
      <c r="B69" s="69" t="s">
        <v>511</v>
      </c>
      <c r="C69" s="64" t="s">
        <v>512</v>
      </c>
      <c r="D69" s="64" t="s">
        <v>513</v>
      </c>
      <c r="E69" s="64"/>
      <c r="F69" s="65"/>
      <c r="G69" s="72"/>
      <c r="H69" s="34"/>
      <c r="I69" s="38"/>
      <c r="J69" s="38"/>
    </row>
    <row r="70" ht="45.0" customHeight="1">
      <c r="A70" s="73" t="s">
        <v>514</v>
      </c>
      <c r="B70" s="74" t="s">
        <v>511</v>
      </c>
      <c r="C70" s="75" t="s">
        <v>512</v>
      </c>
      <c r="D70" s="76" t="s">
        <v>410</v>
      </c>
      <c r="E70" s="76" t="s">
        <v>515</v>
      </c>
      <c r="F70" s="77">
        <v>20.0</v>
      </c>
      <c r="G70" s="78"/>
      <c r="H70" s="78"/>
      <c r="I70" s="79"/>
      <c r="J70" s="80"/>
      <c r="K70" s="81"/>
      <c r="L70" s="81"/>
      <c r="M70" s="81"/>
      <c r="N70" s="81"/>
      <c r="O70" s="81"/>
      <c r="P70" s="81"/>
      <c r="Q70" s="81"/>
      <c r="R70" s="81"/>
      <c r="S70" s="81"/>
      <c r="T70" s="81"/>
      <c r="U70" s="81"/>
      <c r="V70" s="81"/>
      <c r="W70" s="81"/>
      <c r="X70" s="81"/>
      <c r="Y70" s="81"/>
      <c r="Z70" s="81"/>
      <c r="AA70" s="81"/>
    </row>
    <row r="71" ht="45.0" customHeight="1">
      <c r="A71" s="73" t="s">
        <v>516</v>
      </c>
      <c r="B71" s="74" t="s">
        <v>511</v>
      </c>
      <c r="C71" s="75" t="s">
        <v>512</v>
      </c>
      <c r="D71" s="76" t="s">
        <v>517</v>
      </c>
      <c r="E71" s="76" t="s">
        <v>518</v>
      </c>
      <c r="F71" s="77">
        <v>12.0</v>
      </c>
      <c r="G71" s="78"/>
      <c r="H71" s="78"/>
      <c r="I71" s="79"/>
      <c r="J71" s="80"/>
      <c r="K71" s="81"/>
      <c r="L71" s="81"/>
      <c r="M71" s="81"/>
      <c r="N71" s="81"/>
      <c r="O71" s="81"/>
      <c r="P71" s="81"/>
      <c r="Q71" s="81"/>
      <c r="R71" s="81"/>
      <c r="S71" s="81"/>
      <c r="T71" s="81"/>
      <c r="U71" s="81"/>
      <c r="V71" s="81"/>
      <c r="W71" s="81"/>
      <c r="X71" s="81"/>
      <c r="Y71" s="81"/>
      <c r="Z71" s="81"/>
      <c r="AA71" s="81"/>
    </row>
    <row r="72" ht="45.0" customHeight="1">
      <c r="A72" s="73" t="s">
        <v>519</v>
      </c>
      <c r="B72" s="74" t="s">
        <v>511</v>
      </c>
      <c r="C72" s="75" t="s">
        <v>512</v>
      </c>
      <c r="D72" s="76" t="s">
        <v>520</v>
      </c>
      <c r="E72" s="76" t="s">
        <v>521</v>
      </c>
      <c r="F72" s="82">
        <v>32.0</v>
      </c>
      <c r="G72" s="78"/>
      <c r="H72" s="78"/>
      <c r="I72" s="79"/>
      <c r="J72" s="80"/>
      <c r="K72" s="81"/>
      <c r="L72" s="81"/>
      <c r="M72" s="81"/>
      <c r="N72" s="81"/>
      <c r="O72" s="81"/>
      <c r="P72" s="81"/>
      <c r="Q72" s="81"/>
      <c r="R72" s="81"/>
      <c r="S72" s="81"/>
      <c r="T72" s="81"/>
      <c r="U72" s="81"/>
      <c r="V72" s="81"/>
      <c r="W72" s="81"/>
      <c r="X72" s="81"/>
      <c r="Y72" s="81"/>
      <c r="Z72" s="81"/>
      <c r="AA72" s="81"/>
    </row>
    <row r="73" ht="45.0" customHeight="1">
      <c r="A73" s="73" t="s">
        <v>522</v>
      </c>
      <c r="B73" s="74" t="s">
        <v>511</v>
      </c>
      <c r="C73" s="75" t="s">
        <v>512</v>
      </c>
      <c r="D73" s="76" t="s">
        <v>523</v>
      </c>
      <c r="E73" s="75"/>
      <c r="F73" s="78"/>
      <c r="G73" s="78"/>
      <c r="H73" s="78"/>
      <c r="I73" s="79"/>
      <c r="J73" s="80"/>
      <c r="K73" s="81"/>
      <c r="L73" s="81"/>
      <c r="M73" s="81"/>
      <c r="N73" s="81"/>
      <c r="O73" s="81"/>
      <c r="P73" s="81"/>
      <c r="Q73" s="81"/>
      <c r="R73" s="81"/>
      <c r="S73" s="81"/>
      <c r="T73" s="81"/>
      <c r="U73" s="81"/>
      <c r="V73" s="81"/>
      <c r="W73" s="81"/>
      <c r="X73" s="81"/>
      <c r="Y73" s="81"/>
      <c r="Z73" s="81"/>
      <c r="AA73" s="81"/>
    </row>
    <row r="74" ht="45.0" customHeight="1">
      <c r="A74" s="73" t="s">
        <v>524</v>
      </c>
      <c r="B74" s="74" t="s">
        <v>511</v>
      </c>
      <c r="C74" s="75" t="s">
        <v>512</v>
      </c>
      <c r="D74" s="76" t="s">
        <v>410</v>
      </c>
      <c r="E74" s="75"/>
      <c r="F74" s="78"/>
      <c r="G74" s="78"/>
      <c r="H74" s="78"/>
      <c r="I74" s="79"/>
      <c r="J74" s="80"/>
      <c r="K74" s="81"/>
      <c r="L74" s="81"/>
      <c r="M74" s="81"/>
      <c r="N74" s="81"/>
      <c r="O74" s="81"/>
      <c r="P74" s="81"/>
      <c r="Q74" s="81"/>
      <c r="R74" s="81"/>
      <c r="S74" s="81"/>
      <c r="T74" s="81"/>
      <c r="U74" s="81"/>
      <c r="V74" s="81"/>
      <c r="W74" s="81"/>
      <c r="X74" s="81"/>
      <c r="Y74" s="81"/>
      <c r="Z74" s="81"/>
      <c r="AA74" s="81"/>
    </row>
    <row r="75" ht="45.0" customHeight="1">
      <c r="A75" s="73" t="s">
        <v>525</v>
      </c>
      <c r="B75" s="74" t="s">
        <v>511</v>
      </c>
      <c r="C75" s="75" t="s">
        <v>512</v>
      </c>
      <c r="D75" s="76" t="s">
        <v>526</v>
      </c>
      <c r="E75" s="76" t="s">
        <v>521</v>
      </c>
      <c r="F75" s="77">
        <v>12.0</v>
      </c>
      <c r="G75" s="78"/>
      <c r="H75" s="78"/>
      <c r="I75" s="79"/>
      <c r="J75" s="80"/>
      <c r="K75" s="81"/>
      <c r="L75" s="81"/>
      <c r="M75" s="81"/>
      <c r="N75" s="81"/>
      <c r="O75" s="81"/>
      <c r="P75" s="81"/>
      <c r="Q75" s="81"/>
      <c r="R75" s="81"/>
      <c r="S75" s="81"/>
      <c r="T75" s="81"/>
      <c r="U75" s="81"/>
      <c r="V75" s="81"/>
      <c r="W75" s="81"/>
      <c r="X75" s="81"/>
      <c r="Y75" s="81"/>
      <c r="Z75" s="81"/>
      <c r="AA75" s="81"/>
    </row>
    <row r="76" ht="45.0" customHeight="1">
      <c r="A76" s="83" t="s">
        <v>527</v>
      </c>
      <c r="B76" s="74" t="s">
        <v>511</v>
      </c>
      <c r="C76" s="75" t="s">
        <v>512</v>
      </c>
      <c r="D76" s="76" t="s">
        <v>523</v>
      </c>
      <c r="E76" s="75"/>
      <c r="F76" s="78"/>
      <c r="G76" s="78"/>
      <c r="H76" s="78"/>
      <c r="I76" s="79"/>
      <c r="J76" s="80"/>
      <c r="K76" s="81"/>
      <c r="L76" s="81"/>
      <c r="M76" s="81"/>
      <c r="N76" s="81"/>
      <c r="O76" s="81"/>
      <c r="P76" s="81"/>
      <c r="Q76" s="81"/>
      <c r="R76" s="81"/>
      <c r="S76" s="81"/>
      <c r="T76" s="81"/>
      <c r="U76" s="81"/>
      <c r="V76" s="81"/>
      <c r="W76" s="81"/>
      <c r="X76" s="81"/>
      <c r="Y76" s="81"/>
      <c r="Z76" s="81"/>
      <c r="AA76" s="81"/>
    </row>
  </sheetData>
  <dataValidations>
    <dataValidation type="list" allowBlank="1" sqref="B2:B76">
      <formula1>"Policlinico,Ateneo,Politecnico,Campus,Fuori dall'uni,Scuole superiori,Economia"</formula1>
    </dataValidation>
    <dataValidation allowBlank="1" showDropDown="1" sqref="I2:J76"/>
  </dataValidations>
  <hyperlinks>
    <hyperlink r:id="rId2" ref="C2"/>
    <hyperlink r:id="rId3" ref="G2"/>
    <hyperlink r:id="rId4" ref="C3"/>
    <hyperlink r:id="rId5" ref="G3"/>
    <hyperlink r:id="rId6" ref="H4"/>
    <hyperlink r:id="rId7" ref="C5"/>
    <hyperlink r:id="rId8" ref="G5"/>
    <hyperlink r:id="rId9" ref="C6"/>
    <hyperlink r:id="rId10" ref="G6"/>
    <hyperlink r:id="rId11" ref="C8"/>
    <hyperlink r:id="rId12" ref="C9"/>
    <hyperlink r:id="rId13" ref="G9"/>
    <hyperlink r:id="rId14" ref="C10"/>
    <hyperlink r:id="rId15" ref="G11"/>
    <hyperlink r:id="rId16" ref="C12"/>
    <hyperlink r:id="rId17" ref="G12"/>
    <hyperlink r:id="rId18" ref="G13"/>
    <hyperlink r:id="rId19" ref="G17"/>
    <hyperlink r:id="rId20" ref="G29"/>
    <hyperlink r:id="rId21" ref="G30"/>
    <hyperlink r:id="rId22" ref="G31"/>
    <hyperlink r:id="rId23" ref="G32"/>
    <hyperlink r:id="rId24" ref="G34"/>
    <hyperlink r:id="rId25" ref="G35"/>
    <hyperlink r:id="rId26" ref="G36"/>
    <hyperlink r:id="rId27" ref="G41"/>
    <hyperlink r:id="rId28" ref="G42"/>
    <hyperlink r:id="rId29" ref="G43"/>
    <hyperlink r:id="rId30" ref="G44"/>
    <hyperlink r:id="rId31" ref="G48"/>
    <hyperlink r:id="rId32" ref="G49"/>
    <hyperlink r:id="rId33" ref="G50"/>
    <hyperlink r:id="rId34" ref="G51"/>
    <hyperlink r:id="rId35" ref="G52"/>
    <hyperlink r:id="rId36" ref="G53"/>
    <hyperlink r:id="rId37" ref="G54"/>
    <hyperlink r:id="rId38" ref="G55"/>
    <hyperlink r:id="rId39" ref="G56"/>
    <hyperlink r:id="rId40" ref="G57"/>
    <hyperlink r:id="rId41" ref="G58"/>
    <hyperlink r:id="rId42" ref="G59"/>
    <hyperlink r:id="rId43" ref="G60"/>
    <hyperlink r:id="rId44" ref="G61"/>
    <hyperlink r:id="rId45" ref="G62"/>
    <hyperlink r:id="rId46" ref="G63"/>
    <hyperlink r:id="rId47" ref="G64"/>
    <hyperlink r:id="rId48" ref="G65"/>
    <hyperlink r:id="rId49" ref="G66"/>
    <hyperlink r:id="rId50" ref="G67"/>
    <hyperlink r:id="rId51" ref="G68"/>
  </hyperlinks>
  <drawing r:id="rId52"/>
  <legacyDrawing r:id="rId53"/>
  <tableParts count="1">
    <tablePart r:id="rId5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5"/>
    <col customWidth="1" min="2" max="2" width="25.88"/>
    <col customWidth="1" min="3" max="3" width="24.88"/>
    <col customWidth="1" min="4" max="4" width="31.0"/>
    <col customWidth="1" min="5" max="5" width="25.88"/>
    <col customWidth="1" min="6" max="6" width="20.63"/>
    <col customWidth="1" min="7" max="7" width="31.5"/>
  </cols>
  <sheetData>
    <row r="1" ht="22.5" customHeight="1">
      <c r="A1" s="84" t="s">
        <v>0</v>
      </c>
      <c r="B1" s="84" t="s">
        <v>1</v>
      </c>
      <c r="C1" s="84" t="s">
        <v>129</v>
      </c>
      <c r="D1" s="84" t="s">
        <v>130</v>
      </c>
      <c r="E1" s="84" t="s">
        <v>131</v>
      </c>
      <c r="F1" s="85" t="s">
        <v>133</v>
      </c>
      <c r="G1" s="84" t="s">
        <v>134</v>
      </c>
    </row>
    <row r="2" ht="22.5" customHeight="1">
      <c r="A2" s="86"/>
      <c r="B2" s="87"/>
      <c r="C2" s="88"/>
      <c r="D2" s="88"/>
      <c r="E2" s="88"/>
      <c r="F2" s="89"/>
      <c r="G2" s="88"/>
    </row>
    <row r="3" ht="22.5" customHeight="1">
      <c r="A3" s="90"/>
      <c r="B3" s="91"/>
      <c r="C3" s="88"/>
      <c r="D3" s="88"/>
      <c r="E3" s="88"/>
      <c r="F3" s="89"/>
      <c r="G3" s="88"/>
    </row>
    <row r="4" ht="22.5" customHeight="1">
      <c r="A4" s="90"/>
      <c r="B4" s="91"/>
      <c r="C4" s="88"/>
      <c r="D4" s="88"/>
      <c r="E4" s="88"/>
      <c r="F4" s="89"/>
      <c r="G4" s="88"/>
    </row>
    <row r="5" ht="22.5" customHeight="1">
      <c r="A5" s="89"/>
      <c r="B5" s="91"/>
      <c r="C5" s="88"/>
      <c r="D5" s="88"/>
      <c r="E5" s="88"/>
      <c r="F5" s="89"/>
      <c r="G5" s="88"/>
    </row>
    <row r="6" ht="22.5" customHeight="1">
      <c r="A6" s="86"/>
      <c r="B6" s="92"/>
      <c r="C6" s="88"/>
      <c r="D6" s="88"/>
      <c r="E6" s="88"/>
      <c r="F6" s="93"/>
      <c r="G6" s="88"/>
    </row>
    <row r="7" ht="22.5" customHeight="1">
      <c r="A7" s="90"/>
      <c r="B7" s="91"/>
      <c r="C7" s="90"/>
      <c r="D7" s="90"/>
      <c r="E7" s="90"/>
      <c r="F7" s="90"/>
      <c r="G7" s="90"/>
    </row>
    <row r="8" ht="22.5" customHeight="1">
      <c r="A8" s="90"/>
      <c r="B8" s="91"/>
      <c r="C8" s="94"/>
      <c r="D8" s="90"/>
      <c r="E8" s="90"/>
      <c r="F8" s="90"/>
      <c r="G8" s="90"/>
    </row>
    <row r="9" ht="22.5" customHeight="1">
      <c r="A9" s="90"/>
      <c r="B9" s="91"/>
      <c r="C9" s="90"/>
      <c r="D9" s="90"/>
      <c r="E9" s="90"/>
      <c r="F9" s="95"/>
      <c r="G9" s="90"/>
    </row>
    <row r="10" ht="22.5" customHeight="1">
      <c r="A10" s="90"/>
      <c r="B10" s="91"/>
      <c r="C10" s="90"/>
      <c r="D10" s="90"/>
      <c r="E10" s="90"/>
      <c r="F10" s="95"/>
      <c r="G10" s="90"/>
    </row>
    <row r="11" ht="22.5" customHeight="1">
      <c r="A11" s="90"/>
      <c r="B11" s="91"/>
      <c r="C11" s="90"/>
      <c r="D11" s="90"/>
      <c r="E11" s="90"/>
      <c r="F11" s="90"/>
      <c r="G11" s="90"/>
    </row>
    <row r="12" ht="22.5" customHeight="1">
      <c r="A12" s="90"/>
      <c r="B12" s="91"/>
      <c r="C12" s="90"/>
      <c r="D12" s="90"/>
      <c r="E12" s="90"/>
      <c r="F12" s="90"/>
      <c r="G12" s="90"/>
    </row>
    <row r="13" ht="22.5" customHeight="1">
      <c r="A13" s="90"/>
      <c r="B13" s="91"/>
      <c r="C13" s="90"/>
      <c r="D13" s="90"/>
      <c r="E13" s="90"/>
      <c r="F13" s="90"/>
      <c r="G13" s="90"/>
    </row>
    <row r="14" ht="22.5" customHeight="1">
      <c r="A14" s="90"/>
      <c r="B14" s="91"/>
      <c r="C14" s="90"/>
      <c r="D14" s="90"/>
      <c r="E14" s="88"/>
      <c r="F14" s="90"/>
      <c r="G14" s="90"/>
    </row>
    <row r="15" ht="22.5" customHeight="1">
      <c r="A15" s="90"/>
      <c r="B15" s="91"/>
      <c r="C15" s="90"/>
      <c r="D15" s="90"/>
      <c r="E15" s="88"/>
      <c r="F15" s="90"/>
      <c r="G15" s="90"/>
    </row>
    <row r="16" ht="22.5" customHeight="1">
      <c r="A16" s="90"/>
      <c r="B16" s="91"/>
      <c r="C16" s="90"/>
      <c r="D16" s="96"/>
      <c r="E16" s="88"/>
      <c r="F16" s="90"/>
      <c r="G16" s="88"/>
    </row>
    <row r="17" ht="22.5" customHeight="1">
      <c r="A17" s="90"/>
      <c r="B17" s="91"/>
      <c r="C17" s="90"/>
      <c r="D17" s="96"/>
      <c r="E17" s="88"/>
      <c r="F17" s="90"/>
      <c r="G17" s="88"/>
    </row>
    <row r="18" ht="22.5" customHeight="1">
      <c r="A18" s="90"/>
      <c r="B18" s="91"/>
      <c r="E18" s="90"/>
      <c r="F18" s="90"/>
      <c r="G18" s="90"/>
    </row>
    <row r="19" ht="22.5" customHeight="1">
      <c r="A19" s="86"/>
      <c r="B19" s="92"/>
      <c r="C19" s="88"/>
      <c r="D19" s="88"/>
      <c r="E19" s="88"/>
      <c r="F19" s="93"/>
      <c r="G19" s="88"/>
    </row>
    <row r="20" ht="22.5" customHeight="1">
      <c r="A20" s="90"/>
      <c r="B20" s="91"/>
      <c r="C20" s="90"/>
      <c r="D20" s="90"/>
      <c r="E20" s="90"/>
      <c r="F20" s="90"/>
      <c r="G20" s="90"/>
    </row>
    <row r="21" ht="22.5" customHeight="1">
      <c r="A21" s="90"/>
      <c r="B21" s="91"/>
      <c r="C21" s="90"/>
      <c r="D21" s="90"/>
      <c r="E21" s="90"/>
      <c r="F21" s="90"/>
      <c r="G21" s="90"/>
    </row>
    <row r="22" ht="22.5" customHeight="1">
      <c r="A22" s="90"/>
      <c r="B22" s="91"/>
      <c r="C22" s="90"/>
      <c r="D22" s="90"/>
      <c r="E22" s="90"/>
      <c r="F22" s="90"/>
      <c r="G22" s="90"/>
    </row>
    <row r="23" ht="22.5" customHeight="1">
      <c r="A23" s="90"/>
      <c r="B23" s="91"/>
      <c r="C23" s="90"/>
      <c r="D23" s="90"/>
      <c r="E23" s="90"/>
      <c r="F23" s="93"/>
      <c r="G23" s="90"/>
    </row>
    <row r="24" ht="22.5" customHeight="1">
      <c r="A24" s="90"/>
      <c r="B24" s="91"/>
      <c r="C24" s="90"/>
      <c r="D24" s="90"/>
      <c r="E24" s="90"/>
      <c r="F24" s="93"/>
      <c r="G24" s="90"/>
    </row>
    <row r="25" ht="22.5" customHeight="1">
      <c r="A25" s="90"/>
      <c r="B25" s="91"/>
      <c r="C25" s="90"/>
      <c r="D25" s="90"/>
      <c r="E25" s="90"/>
      <c r="F25" s="90"/>
      <c r="G25" s="86"/>
    </row>
    <row r="26" ht="22.5" customHeight="1">
      <c r="A26" s="88"/>
      <c r="B26" s="92"/>
      <c r="C26" s="88"/>
      <c r="D26" s="88"/>
      <c r="E26" s="88"/>
      <c r="F26" s="93"/>
      <c r="G26" s="88"/>
    </row>
    <row r="27" ht="22.5" customHeight="1">
      <c r="A27" s="88"/>
      <c r="B27" s="92"/>
      <c r="C27" s="88"/>
      <c r="D27" s="88"/>
      <c r="E27" s="88"/>
      <c r="F27" s="93"/>
      <c r="G27" s="88"/>
    </row>
    <row r="28" ht="22.5" customHeight="1">
      <c r="A28" s="88"/>
      <c r="B28" s="92"/>
      <c r="C28" s="88"/>
      <c r="D28" s="88"/>
      <c r="E28" s="88"/>
      <c r="F28" s="93"/>
      <c r="G28" s="88"/>
    </row>
    <row r="29" ht="22.5" customHeight="1">
      <c r="A29" s="88"/>
      <c r="B29" s="92"/>
      <c r="C29" s="88"/>
      <c r="D29" s="88"/>
      <c r="E29" s="88"/>
      <c r="F29" s="93"/>
      <c r="G29" s="88"/>
    </row>
    <row r="30" ht="22.5" customHeight="1">
      <c r="A30" s="88"/>
      <c r="B30" s="92"/>
      <c r="C30" s="88"/>
      <c r="D30" s="88"/>
      <c r="E30" s="88"/>
      <c r="F30" s="93"/>
      <c r="G30" s="88"/>
    </row>
    <row r="31" ht="22.5" customHeight="1">
      <c r="A31" s="88"/>
      <c r="B31" s="92"/>
      <c r="C31" s="88"/>
      <c r="D31" s="88"/>
      <c r="E31" s="88"/>
      <c r="F31" s="93"/>
      <c r="G31" s="88"/>
    </row>
  </sheetData>
  <dataValidations>
    <dataValidation type="list" allowBlank="1" sqref="B2:B31">
      <formula1>"Strada,Informali,Pub"</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20.63"/>
    <col customWidth="1" min="3" max="3" width="24.5"/>
    <col customWidth="1" min="4" max="4" width="19.5"/>
    <col customWidth="1" min="5" max="5" width="29.5"/>
    <col customWidth="1" min="7" max="7" width="21.0"/>
    <col customWidth="1" min="8" max="8" width="38.63"/>
  </cols>
  <sheetData>
    <row r="1" ht="22.5" customHeight="1">
      <c r="A1" s="84" t="s">
        <v>0</v>
      </c>
      <c r="B1" s="84" t="s">
        <v>1</v>
      </c>
      <c r="C1" s="84" t="s">
        <v>129</v>
      </c>
      <c r="D1" s="84" t="s">
        <v>130</v>
      </c>
      <c r="E1" s="84" t="s">
        <v>131</v>
      </c>
      <c r="F1" s="85" t="s">
        <v>132</v>
      </c>
      <c r="G1" s="85" t="s">
        <v>133</v>
      </c>
      <c r="H1" s="84" t="s">
        <v>134</v>
      </c>
    </row>
    <row r="2" ht="22.5" customHeight="1">
      <c r="A2" s="86"/>
      <c r="B2" s="91"/>
      <c r="C2" s="88"/>
      <c r="D2" s="88"/>
      <c r="E2" s="88"/>
      <c r="F2" s="89"/>
      <c r="G2" s="89"/>
      <c r="H2" s="88"/>
    </row>
    <row r="3" ht="22.5" customHeight="1">
      <c r="A3" s="90"/>
      <c r="B3" s="91"/>
      <c r="C3" s="88"/>
      <c r="D3" s="88"/>
      <c r="E3" s="88"/>
      <c r="F3" s="89"/>
      <c r="G3" s="89"/>
      <c r="H3" s="88"/>
    </row>
    <row r="4" ht="22.5" customHeight="1">
      <c r="A4" s="90"/>
      <c r="B4" s="91"/>
      <c r="C4" s="88"/>
      <c r="D4" s="88"/>
      <c r="E4" s="88"/>
      <c r="F4" s="89"/>
      <c r="G4" s="89"/>
      <c r="H4" s="88"/>
    </row>
    <row r="5" ht="22.5" customHeight="1">
      <c r="A5" s="89"/>
      <c r="B5" s="91"/>
      <c r="C5" s="88"/>
      <c r="D5" s="88"/>
      <c r="E5" s="88"/>
      <c r="F5" s="89"/>
      <c r="G5" s="89"/>
      <c r="H5" s="88"/>
    </row>
    <row r="6" ht="22.5" customHeight="1">
      <c r="A6" s="86"/>
      <c r="B6" s="92"/>
      <c r="C6" s="88"/>
      <c r="D6" s="88"/>
      <c r="E6" s="88"/>
      <c r="F6" s="93"/>
      <c r="G6" s="93"/>
      <c r="H6" s="88"/>
    </row>
    <row r="7" ht="22.5" customHeight="1">
      <c r="A7" s="90"/>
      <c r="B7" s="91"/>
      <c r="C7" s="90"/>
      <c r="D7" s="90"/>
      <c r="E7" s="90"/>
      <c r="F7" s="90"/>
      <c r="G7" s="90"/>
      <c r="H7" s="90"/>
    </row>
    <row r="8" ht="22.5" customHeight="1">
      <c r="A8" s="90"/>
      <c r="B8" s="91"/>
      <c r="C8" s="94"/>
      <c r="D8" s="90"/>
      <c r="E8" s="90"/>
      <c r="F8" s="90"/>
      <c r="G8" s="90"/>
      <c r="H8" s="90"/>
    </row>
    <row r="9" ht="22.5" customHeight="1">
      <c r="A9" s="90"/>
      <c r="B9" s="91"/>
      <c r="C9" s="90"/>
      <c r="D9" s="90"/>
      <c r="E9" s="90"/>
      <c r="F9" s="90"/>
      <c r="G9" s="95"/>
      <c r="H9" s="90"/>
    </row>
    <row r="10" ht="22.5" customHeight="1">
      <c r="A10" s="90"/>
      <c r="B10" s="91"/>
      <c r="C10" s="90"/>
      <c r="D10" s="90"/>
      <c r="E10" s="90"/>
      <c r="F10" s="90"/>
      <c r="G10" s="95"/>
      <c r="H10" s="90"/>
    </row>
    <row r="11" ht="22.5" customHeight="1">
      <c r="A11" s="90"/>
      <c r="B11" s="91"/>
      <c r="C11" s="90"/>
      <c r="D11" s="90"/>
      <c r="E11" s="90"/>
      <c r="F11" s="90"/>
      <c r="G11" s="90"/>
      <c r="H11" s="90"/>
    </row>
    <row r="12" ht="22.5" customHeight="1">
      <c r="A12" s="90"/>
      <c r="B12" s="91"/>
      <c r="C12" s="90"/>
      <c r="D12" s="90"/>
      <c r="E12" s="90"/>
      <c r="F12" s="90"/>
      <c r="G12" s="90"/>
      <c r="H12" s="90"/>
    </row>
    <row r="13" ht="22.5" customHeight="1">
      <c r="A13" s="90"/>
      <c r="B13" s="91"/>
      <c r="C13" s="90"/>
      <c r="D13" s="90"/>
      <c r="E13" s="90"/>
      <c r="F13" s="90"/>
      <c r="G13" s="90"/>
      <c r="H13" s="90"/>
    </row>
    <row r="14" ht="22.5" customHeight="1">
      <c r="A14" s="90"/>
      <c r="B14" s="91"/>
      <c r="C14" s="90"/>
      <c r="D14" s="90"/>
      <c r="E14" s="88"/>
      <c r="F14" s="90"/>
      <c r="G14" s="90"/>
      <c r="H14" s="90"/>
    </row>
    <row r="15" ht="22.5" customHeight="1">
      <c r="A15" s="90"/>
      <c r="B15" s="91"/>
      <c r="C15" s="90"/>
      <c r="D15" s="90"/>
      <c r="E15" s="88"/>
      <c r="F15" s="90"/>
      <c r="G15" s="90"/>
      <c r="H15" s="90"/>
    </row>
    <row r="16" ht="22.5" customHeight="1">
      <c r="A16" s="90"/>
      <c r="B16" s="91"/>
      <c r="C16" s="90"/>
      <c r="D16" s="96"/>
      <c r="E16" s="88"/>
      <c r="F16" s="90"/>
      <c r="G16" s="90"/>
      <c r="H16" s="88"/>
    </row>
    <row r="17" ht="22.5" customHeight="1">
      <c r="A17" s="90"/>
      <c r="B17" s="91"/>
      <c r="C17" s="90"/>
      <c r="D17" s="96"/>
      <c r="E17" s="88"/>
      <c r="F17" s="90"/>
      <c r="G17" s="90"/>
      <c r="H17" s="88"/>
    </row>
    <row r="18" ht="22.5" customHeight="1">
      <c r="A18" s="90"/>
      <c r="B18" s="91"/>
      <c r="E18" s="90"/>
      <c r="F18" s="90"/>
      <c r="G18" s="90"/>
      <c r="H18" s="90"/>
    </row>
    <row r="19" ht="22.5" customHeight="1">
      <c r="A19" s="86"/>
      <c r="B19" s="92"/>
      <c r="C19" s="88"/>
      <c r="D19" s="88"/>
      <c r="E19" s="88"/>
      <c r="F19" s="93"/>
      <c r="G19" s="93"/>
      <c r="H19" s="88"/>
    </row>
    <row r="20" ht="22.5" customHeight="1">
      <c r="A20" s="90"/>
      <c r="B20" s="91"/>
      <c r="C20" s="90"/>
      <c r="D20" s="90"/>
      <c r="E20" s="90"/>
      <c r="F20" s="90"/>
      <c r="G20" s="90"/>
      <c r="H20" s="90"/>
    </row>
    <row r="21" ht="22.5" customHeight="1">
      <c r="A21" s="90"/>
      <c r="B21" s="91"/>
      <c r="C21" s="90"/>
      <c r="D21" s="90"/>
      <c r="E21" s="90"/>
      <c r="F21" s="90"/>
      <c r="G21" s="90"/>
      <c r="H21" s="90"/>
    </row>
    <row r="22" ht="22.5" customHeight="1">
      <c r="A22" s="90"/>
      <c r="B22" s="91"/>
      <c r="C22" s="90"/>
      <c r="D22" s="90"/>
      <c r="E22" s="90"/>
      <c r="F22" s="90"/>
      <c r="G22" s="90"/>
      <c r="H22" s="90"/>
    </row>
    <row r="23" ht="22.5" customHeight="1">
      <c r="A23" s="90"/>
      <c r="B23" s="91"/>
      <c r="C23" s="90"/>
      <c r="D23" s="90"/>
      <c r="E23" s="90"/>
      <c r="F23" s="90"/>
      <c r="G23" s="93"/>
      <c r="H23" s="90"/>
    </row>
    <row r="24" ht="22.5" customHeight="1">
      <c r="A24" s="90"/>
      <c r="B24" s="91"/>
      <c r="C24" s="90"/>
      <c r="D24" s="90"/>
      <c r="E24" s="90"/>
      <c r="F24" s="93"/>
      <c r="G24" s="93"/>
      <c r="H24" s="90"/>
    </row>
    <row r="25" ht="22.5" customHeight="1">
      <c r="A25" s="90"/>
      <c r="B25" s="91"/>
      <c r="C25" s="90"/>
      <c r="D25" s="90"/>
      <c r="E25" s="90"/>
      <c r="F25" s="90"/>
      <c r="G25" s="90"/>
      <c r="H25" s="86"/>
    </row>
    <row r="26" ht="22.5" customHeight="1">
      <c r="A26" s="88"/>
      <c r="B26" s="92"/>
      <c r="C26" s="88"/>
      <c r="D26" s="88"/>
      <c r="E26" s="88"/>
      <c r="F26" s="93"/>
      <c r="G26" s="93"/>
      <c r="H26" s="88"/>
    </row>
    <row r="27" ht="22.5" customHeight="1">
      <c r="A27" s="88"/>
      <c r="B27" s="92"/>
      <c r="C27" s="88"/>
      <c r="D27" s="88"/>
      <c r="E27" s="88"/>
      <c r="F27" s="93"/>
      <c r="G27" s="93"/>
      <c r="H27" s="88"/>
    </row>
    <row r="28" ht="22.5" customHeight="1">
      <c r="A28" s="88"/>
      <c r="B28" s="92"/>
      <c r="C28" s="88"/>
      <c r="D28" s="88"/>
      <c r="E28" s="88"/>
      <c r="F28" s="93"/>
      <c r="G28" s="93"/>
      <c r="H28" s="88"/>
    </row>
    <row r="29" ht="22.5" customHeight="1">
      <c r="A29" s="88"/>
      <c r="B29" s="92"/>
      <c r="C29" s="88"/>
      <c r="D29" s="88"/>
      <c r="E29" s="88"/>
      <c r="F29" s="93"/>
      <c r="G29" s="93"/>
      <c r="H29" s="88"/>
    </row>
    <row r="30" ht="22.5" customHeight="1">
      <c r="A30" s="88"/>
      <c r="B30" s="92"/>
      <c r="C30" s="88"/>
      <c r="D30" s="88"/>
      <c r="E30" s="88"/>
      <c r="F30" s="93"/>
      <c r="G30" s="93"/>
      <c r="H30" s="88"/>
    </row>
    <row r="31" ht="22.5" customHeight="1">
      <c r="A31" s="88"/>
      <c r="B31" s="92"/>
      <c r="C31" s="88"/>
      <c r="D31" s="88"/>
      <c r="E31" s="88"/>
      <c r="F31" s="93"/>
      <c r="G31" s="93"/>
      <c r="H31" s="88"/>
    </row>
  </sheetData>
  <dataValidations>
    <dataValidation type="list" allowBlank="1" sqref="B2:B31">
      <formula1>"Palazzo,Struttura,Informali,Strada"</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24.63"/>
    <col customWidth="1" min="3" max="3" width="22.0"/>
    <col customWidth="1" min="4" max="4" width="24.25"/>
    <col customWidth="1" min="5" max="5" width="26.38"/>
    <col customWidth="1" min="6" max="6" width="23.25"/>
    <col customWidth="1" min="7" max="7" width="26.88"/>
    <col customWidth="1" min="8" max="8" width="43.0"/>
    <col customWidth="1" min="9" max="9" width="15.25"/>
    <col customWidth="1" min="10" max="10" width="15.63"/>
  </cols>
  <sheetData>
    <row r="1" ht="22.5" customHeight="1">
      <c r="A1" s="84" t="s">
        <v>0</v>
      </c>
      <c r="B1" s="84" t="s">
        <v>1</v>
      </c>
      <c r="C1" s="84" t="s">
        <v>129</v>
      </c>
      <c r="D1" s="84" t="s">
        <v>130</v>
      </c>
      <c r="E1" s="84" t="s">
        <v>131</v>
      </c>
      <c r="F1" s="85" t="s">
        <v>132</v>
      </c>
      <c r="G1" s="85" t="s">
        <v>133</v>
      </c>
      <c r="H1" s="84" t="s">
        <v>134</v>
      </c>
      <c r="I1" s="97" t="s">
        <v>4</v>
      </c>
      <c r="J1" s="97" t="s">
        <v>5</v>
      </c>
    </row>
    <row r="2" ht="22.5" customHeight="1">
      <c r="A2" s="98" t="s">
        <v>528</v>
      </c>
      <c r="B2" s="99" t="s">
        <v>529</v>
      </c>
      <c r="C2" s="100" t="s">
        <v>530</v>
      </c>
      <c r="D2" s="100" t="s">
        <v>531</v>
      </c>
      <c r="E2" s="100" t="s">
        <v>532</v>
      </c>
      <c r="F2" s="100" t="s">
        <v>533</v>
      </c>
      <c r="G2" s="101" t="s">
        <v>534</v>
      </c>
      <c r="H2" s="102"/>
      <c r="I2" s="100" t="s">
        <v>535</v>
      </c>
      <c r="J2" s="103" t="s">
        <v>536</v>
      </c>
    </row>
    <row r="3" ht="22.5" customHeight="1">
      <c r="A3" s="104" t="s">
        <v>537</v>
      </c>
      <c r="B3" s="105" t="s">
        <v>538</v>
      </c>
      <c r="C3" s="106" t="s">
        <v>539</v>
      </c>
      <c r="D3" s="106" t="s">
        <v>531</v>
      </c>
      <c r="E3" s="106" t="s">
        <v>540</v>
      </c>
      <c r="F3" s="106" t="s">
        <v>533</v>
      </c>
      <c r="G3" s="107" t="s">
        <v>541</v>
      </c>
      <c r="H3" s="79"/>
      <c r="I3" s="106" t="s">
        <v>542</v>
      </c>
      <c r="J3" s="108" t="s">
        <v>543</v>
      </c>
    </row>
    <row r="4" ht="22.5" customHeight="1">
      <c r="A4" s="98" t="s">
        <v>544</v>
      </c>
      <c r="B4" s="99" t="s">
        <v>529</v>
      </c>
      <c r="C4" s="100" t="s">
        <v>545</v>
      </c>
      <c r="D4" s="100" t="s">
        <v>531</v>
      </c>
      <c r="E4" s="100" t="s">
        <v>546</v>
      </c>
      <c r="F4" s="100" t="s">
        <v>533</v>
      </c>
      <c r="G4" s="101" t="s">
        <v>547</v>
      </c>
      <c r="H4" s="102"/>
      <c r="I4" s="100" t="s">
        <v>548</v>
      </c>
      <c r="J4" s="103" t="s">
        <v>549</v>
      </c>
    </row>
    <row r="5" ht="22.5" customHeight="1">
      <c r="A5" s="109" t="s">
        <v>550</v>
      </c>
      <c r="B5" s="105" t="s">
        <v>538</v>
      </c>
      <c r="C5" s="106" t="s">
        <v>551</v>
      </c>
      <c r="D5" s="106" t="s">
        <v>552</v>
      </c>
      <c r="E5" s="106" t="s">
        <v>553</v>
      </c>
      <c r="F5" s="106" t="s">
        <v>533</v>
      </c>
      <c r="G5" s="107" t="s">
        <v>554</v>
      </c>
      <c r="H5" s="79"/>
      <c r="I5" s="106" t="s">
        <v>555</v>
      </c>
      <c r="J5" s="108" t="s">
        <v>556</v>
      </c>
    </row>
    <row r="6" ht="22.5" customHeight="1">
      <c r="A6" s="110" t="s">
        <v>557</v>
      </c>
      <c r="B6" s="111" t="s">
        <v>529</v>
      </c>
      <c r="C6" s="100" t="s">
        <v>558</v>
      </c>
      <c r="D6" s="102"/>
      <c r="E6" s="100" t="s">
        <v>559</v>
      </c>
      <c r="F6" s="100" t="s">
        <v>533</v>
      </c>
      <c r="G6" s="101" t="s">
        <v>560</v>
      </c>
      <c r="H6" s="102"/>
      <c r="I6" s="100" t="s">
        <v>561</v>
      </c>
      <c r="J6" s="103" t="s">
        <v>562</v>
      </c>
    </row>
    <row r="7" ht="22.5" customHeight="1">
      <c r="A7" s="109" t="s">
        <v>563</v>
      </c>
      <c r="B7" s="112" t="s">
        <v>529</v>
      </c>
      <c r="C7" s="106" t="s">
        <v>564</v>
      </c>
      <c r="D7" s="106" t="s">
        <v>565</v>
      </c>
      <c r="E7" s="106" t="s">
        <v>566</v>
      </c>
      <c r="F7" s="100" t="s">
        <v>533</v>
      </c>
      <c r="G7" s="107" t="s">
        <v>567</v>
      </c>
      <c r="H7" s="79"/>
      <c r="I7" s="106" t="s">
        <v>568</v>
      </c>
      <c r="J7" s="108" t="s">
        <v>569</v>
      </c>
    </row>
    <row r="8" ht="22.5" customHeight="1">
      <c r="A8" s="110" t="s">
        <v>570</v>
      </c>
      <c r="B8" s="113" t="s">
        <v>538</v>
      </c>
      <c r="C8" s="100" t="s">
        <v>571</v>
      </c>
      <c r="D8" s="102"/>
      <c r="E8" s="100" t="s">
        <v>572</v>
      </c>
      <c r="F8" s="100" t="s">
        <v>533</v>
      </c>
      <c r="G8" s="101" t="s">
        <v>573</v>
      </c>
      <c r="H8" s="102"/>
      <c r="I8" s="100" t="s">
        <v>574</v>
      </c>
      <c r="J8" s="103" t="s">
        <v>575</v>
      </c>
    </row>
    <row r="9" ht="22.5" customHeight="1">
      <c r="A9" s="109" t="s">
        <v>576</v>
      </c>
      <c r="B9" s="112" t="s">
        <v>529</v>
      </c>
      <c r="C9" s="106" t="s">
        <v>577</v>
      </c>
      <c r="D9" s="79"/>
      <c r="E9" s="106" t="s">
        <v>578</v>
      </c>
      <c r="F9" s="100" t="s">
        <v>533</v>
      </c>
      <c r="G9" s="107" t="s">
        <v>579</v>
      </c>
      <c r="H9" s="79"/>
      <c r="I9" s="106" t="s">
        <v>580</v>
      </c>
      <c r="J9" s="108" t="s">
        <v>581</v>
      </c>
    </row>
    <row r="10" ht="22.5" customHeight="1">
      <c r="A10" s="110" t="s">
        <v>582</v>
      </c>
      <c r="B10" s="113" t="s">
        <v>538</v>
      </c>
      <c r="C10" s="100" t="s">
        <v>583</v>
      </c>
      <c r="D10" s="102"/>
      <c r="E10" s="102"/>
      <c r="F10" s="100" t="s">
        <v>533</v>
      </c>
      <c r="G10" s="101" t="s">
        <v>584</v>
      </c>
      <c r="H10" s="102"/>
      <c r="I10" s="100" t="s">
        <v>585</v>
      </c>
      <c r="J10" s="103" t="s">
        <v>586</v>
      </c>
    </row>
    <row r="11" ht="22.5" customHeight="1">
      <c r="A11" s="109" t="s">
        <v>587</v>
      </c>
      <c r="B11" s="114" t="s">
        <v>588</v>
      </c>
      <c r="C11" s="106" t="s">
        <v>589</v>
      </c>
      <c r="D11" s="79"/>
      <c r="E11" s="79"/>
      <c r="F11" s="100" t="s">
        <v>533</v>
      </c>
      <c r="G11" s="107" t="s">
        <v>590</v>
      </c>
      <c r="H11" s="79"/>
      <c r="I11" s="106" t="s">
        <v>591</v>
      </c>
      <c r="J11" s="108" t="s">
        <v>592</v>
      </c>
    </row>
    <row r="12" ht="22.5" customHeight="1">
      <c r="A12" s="110" t="s">
        <v>593</v>
      </c>
      <c r="B12" s="111" t="s">
        <v>529</v>
      </c>
      <c r="C12" s="100" t="s">
        <v>594</v>
      </c>
      <c r="D12" s="102"/>
      <c r="E12" s="100" t="s">
        <v>595</v>
      </c>
      <c r="F12" s="100" t="s">
        <v>533</v>
      </c>
      <c r="G12" s="101" t="s">
        <v>596</v>
      </c>
      <c r="H12" s="102"/>
      <c r="I12" s="100" t="s">
        <v>597</v>
      </c>
      <c r="J12" s="103" t="s">
        <v>598</v>
      </c>
    </row>
    <row r="13" ht="22.5" customHeight="1">
      <c r="A13" s="109" t="s">
        <v>599</v>
      </c>
      <c r="B13" s="115" t="s">
        <v>538</v>
      </c>
      <c r="C13" s="106" t="s">
        <v>600</v>
      </c>
      <c r="D13" s="79"/>
      <c r="E13" s="106" t="s">
        <v>601</v>
      </c>
      <c r="F13" s="100" t="s">
        <v>533</v>
      </c>
      <c r="G13" s="107" t="s">
        <v>602</v>
      </c>
      <c r="H13" s="79"/>
      <c r="I13" s="106" t="s">
        <v>603</v>
      </c>
      <c r="J13" s="108" t="s">
        <v>604</v>
      </c>
    </row>
    <row r="14" ht="22.5" customHeight="1">
      <c r="A14" s="110" t="s">
        <v>605</v>
      </c>
      <c r="B14" s="111" t="s">
        <v>529</v>
      </c>
      <c r="C14" s="100" t="s">
        <v>606</v>
      </c>
      <c r="D14" s="102"/>
      <c r="E14" s="100" t="s">
        <v>607</v>
      </c>
      <c r="F14" s="100" t="s">
        <v>533</v>
      </c>
      <c r="G14" s="101" t="s">
        <v>608</v>
      </c>
      <c r="H14" s="102"/>
      <c r="I14" s="100" t="s">
        <v>609</v>
      </c>
      <c r="J14" s="103" t="s">
        <v>610</v>
      </c>
    </row>
    <row r="15" ht="22.5" customHeight="1">
      <c r="A15" s="109" t="s">
        <v>611</v>
      </c>
      <c r="B15" s="112" t="s">
        <v>529</v>
      </c>
      <c r="C15" s="106" t="s">
        <v>612</v>
      </c>
      <c r="D15" s="79"/>
      <c r="E15" s="106" t="s">
        <v>613</v>
      </c>
      <c r="F15" s="100" t="s">
        <v>533</v>
      </c>
      <c r="G15" s="107" t="s">
        <v>614</v>
      </c>
      <c r="H15" s="79"/>
      <c r="I15" s="106" t="s">
        <v>615</v>
      </c>
      <c r="J15" s="108" t="s">
        <v>616</v>
      </c>
    </row>
    <row r="16" ht="22.5" customHeight="1">
      <c r="A16" s="110" t="s">
        <v>617</v>
      </c>
      <c r="B16" s="113" t="s">
        <v>538</v>
      </c>
      <c r="C16" s="100" t="s">
        <v>618</v>
      </c>
      <c r="D16" s="102"/>
      <c r="E16" s="100" t="s">
        <v>619</v>
      </c>
      <c r="F16" s="100" t="s">
        <v>533</v>
      </c>
      <c r="G16" s="101" t="s">
        <v>620</v>
      </c>
      <c r="H16" s="102"/>
      <c r="I16" s="100" t="s">
        <v>621</v>
      </c>
      <c r="J16" s="103" t="s">
        <v>622</v>
      </c>
    </row>
    <row r="17" ht="22.5" customHeight="1">
      <c r="A17" s="109" t="s">
        <v>623</v>
      </c>
      <c r="B17" s="114" t="s">
        <v>588</v>
      </c>
      <c r="C17" s="106" t="s">
        <v>624</v>
      </c>
      <c r="D17" s="79"/>
      <c r="E17" s="106" t="s">
        <v>625</v>
      </c>
      <c r="F17" s="100" t="s">
        <v>533</v>
      </c>
      <c r="G17" s="107" t="s">
        <v>626</v>
      </c>
      <c r="H17" s="79"/>
      <c r="I17" s="106" t="s">
        <v>627</v>
      </c>
      <c r="J17" s="108" t="s">
        <v>628</v>
      </c>
    </row>
    <row r="18" ht="22.5" customHeight="1">
      <c r="A18" s="110" t="s">
        <v>629</v>
      </c>
      <c r="B18" s="116" t="s">
        <v>630</v>
      </c>
      <c r="C18" s="100" t="s">
        <v>631</v>
      </c>
      <c r="D18" s="102"/>
      <c r="E18" s="100" t="s">
        <v>632</v>
      </c>
      <c r="F18" s="100" t="s">
        <v>533</v>
      </c>
      <c r="G18" s="101" t="s">
        <v>633</v>
      </c>
      <c r="H18" s="102"/>
      <c r="I18" s="100" t="s">
        <v>634</v>
      </c>
      <c r="J18" s="103" t="s">
        <v>635</v>
      </c>
    </row>
    <row r="19" ht="22.5" customHeight="1">
      <c r="A19" s="109" t="s">
        <v>636</v>
      </c>
      <c r="B19" s="112" t="s">
        <v>529</v>
      </c>
      <c r="C19" s="106" t="s">
        <v>637</v>
      </c>
      <c r="D19" s="106" t="s">
        <v>638</v>
      </c>
      <c r="E19" s="106" t="s">
        <v>639</v>
      </c>
      <c r="F19" s="100" t="s">
        <v>533</v>
      </c>
      <c r="G19" s="107" t="s">
        <v>640</v>
      </c>
      <c r="H19" s="79"/>
      <c r="I19" s="106" t="s">
        <v>641</v>
      </c>
      <c r="J19" s="108" t="s">
        <v>642</v>
      </c>
    </row>
    <row r="20" ht="22.5" customHeight="1">
      <c r="A20" s="110" t="s">
        <v>643</v>
      </c>
      <c r="B20" s="116" t="s">
        <v>630</v>
      </c>
      <c r="C20" s="100" t="s">
        <v>644</v>
      </c>
      <c r="D20" s="102"/>
      <c r="E20" s="100" t="s">
        <v>645</v>
      </c>
      <c r="F20" s="100" t="s">
        <v>533</v>
      </c>
      <c r="G20" s="101" t="s">
        <v>646</v>
      </c>
      <c r="H20" s="102"/>
      <c r="I20" s="100" t="s">
        <v>647</v>
      </c>
      <c r="J20" s="103" t="s">
        <v>648</v>
      </c>
    </row>
    <row r="21" ht="22.5" customHeight="1">
      <c r="A21" s="109" t="s">
        <v>649</v>
      </c>
      <c r="B21" s="114" t="s">
        <v>588</v>
      </c>
      <c r="C21" s="75" t="s">
        <v>650</v>
      </c>
      <c r="D21" s="78"/>
      <c r="E21" s="75" t="s">
        <v>651</v>
      </c>
      <c r="F21" s="100" t="s">
        <v>533</v>
      </c>
      <c r="G21" s="117" t="s">
        <v>652</v>
      </c>
      <c r="H21" s="78"/>
      <c r="I21" s="106" t="s">
        <v>653</v>
      </c>
      <c r="J21" s="108" t="s">
        <v>654</v>
      </c>
    </row>
    <row r="22" ht="22.5" customHeight="1">
      <c r="A22" s="110" t="s">
        <v>655</v>
      </c>
      <c r="B22" s="116" t="s">
        <v>630</v>
      </c>
      <c r="C22" s="118" t="s">
        <v>656</v>
      </c>
      <c r="D22" s="119"/>
      <c r="E22" s="119"/>
      <c r="F22" s="100" t="s">
        <v>533</v>
      </c>
      <c r="G22" s="120" t="s">
        <v>657</v>
      </c>
      <c r="H22" s="119"/>
      <c r="I22" s="100" t="s">
        <v>658</v>
      </c>
      <c r="J22" s="103" t="s">
        <v>659</v>
      </c>
    </row>
    <row r="23" ht="22.5" customHeight="1">
      <c r="A23" s="109" t="s">
        <v>660</v>
      </c>
      <c r="B23" s="115" t="s">
        <v>538</v>
      </c>
      <c r="C23" s="75" t="s">
        <v>661</v>
      </c>
      <c r="D23" s="75" t="s">
        <v>531</v>
      </c>
      <c r="E23" s="78"/>
      <c r="F23" s="100" t="s">
        <v>533</v>
      </c>
      <c r="G23" s="117" t="s">
        <v>662</v>
      </c>
      <c r="H23" s="78"/>
      <c r="I23" s="106" t="s">
        <v>663</v>
      </c>
      <c r="J23" s="108" t="s">
        <v>664</v>
      </c>
    </row>
    <row r="24" ht="22.5" customHeight="1">
      <c r="A24" s="110" t="s">
        <v>665</v>
      </c>
      <c r="B24" s="113" t="s">
        <v>538</v>
      </c>
      <c r="C24" s="118" t="s">
        <v>666</v>
      </c>
      <c r="D24" s="118" t="s">
        <v>531</v>
      </c>
      <c r="E24" s="119"/>
      <c r="F24" s="100" t="s">
        <v>533</v>
      </c>
      <c r="G24" s="120" t="s">
        <v>667</v>
      </c>
      <c r="H24" s="119"/>
      <c r="I24" s="100" t="s">
        <v>668</v>
      </c>
      <c r="J24" s="103" t="s">
        <v>669</v>
      </c>
    </row>
    <row r="25" ht="22.5" customHeight="1">
      <c r="A25" s="109" t="s">
        <v>670</v>
      </c>
      <c r="B25" s="115" t="s">
        <v>538</v>
      </c>
      <c r="C25" s="75" t="s">
        <v>671</v>
      </c>
      <c r="D25" s="75" t="s">
        <v>531</v>
      </c>
      <c r="E25" s="78"/>
      <c r="F25" s="100" t="s">
        <v>533</v>
      </c>
      <c r="G25" s="117" t="s">
        <v>672</v>
      </c>
      <c r="H25" s="78"/>
      <c r="I25" s="106" t="s">
        <v>673</v>
      </c>
      <c r="J25" s="108" t="s">
        <v>674</v>
      </c>
    </row>
    <row r="26" ht="22.5" customHeight="1">
      <c r="A26" s="110" t="s">
        <v>675</v>
      </c>
      <c r="B26" s="116" t="s">
        <v>630</v>
      </c>
      <c r="C26" s="118" t="s">
        <v>676</v>
      </c>
      <c r="D26" s="118" t="s">
        <v>531</v>
      </c>
      <c r="E26" s="118" t="s">
        <v>677</v>
      </c>
      <c r="F26" s="100" t="s">
        <v>533</v>
      </c>
      <c r="G26" s="120" t="s">
        <v>678</v>
      </c>
      <c r="H26" s="119"/>
      <c r="I26" s="100" t="s">
        <v>679</v>
      </c>
      <c r="J26" s="103" t="s">
        <v>680</v>
      </c>
    </row>
    <row r="27" ht="22.5" customHeight="1">
      <c r="A27" s="121" t="s">
        <v>681</v>
      </c>
      <c r="B27" s="122" t="s">
        <v>682</v>
      </c>
      <c r="C27" s="123" t="s">
        <v>683</v>
      </c>
      <c r="D27" s="123" t="s">
        <v>531</v>
      </c>
      <c r="E27" s="123" t="s">
        <v>684</v>
      </c>
      <c r="F27" s="100" t="s">
        <v>533</v>
      </c>
      <c r="G27" s="124" t="s">
        <v>685</v>
      </c>
      <c r="H27" s="125"/>
      <c r="I27" s="126" t="s">
        <v>686</v>
      </c>
      <c r="J27" s="127" t="s">
        <v>687</v>
      </c>
    </row>
    <row r="28" ht="22.5" customHeight="1">
      <c r="A28" s="121" t="s">
        <v>688</v>
      </c>
      <c r="B28" s="128" t="s">
        <v>529</v>
      </c>
      <c r="C28" s="129" t="s">
        <v>689</v>
      </c>
      <c r="D28" s="130"/>
      <c r="E28" s="130"/>
      <c r="F28" s="100" t="s">
        <v>533</v>
      </c>
      <c r="G28" s="131" t="s">
        <v>690</v>
      </c>
      <c r="H28" s="132"/>
      <c r="I28" s="133" t="s">
        <v>691</v>
      </c>
      <c r="J28" s="133" t="s">
        <v>692</v>
      </c>
    </row>
    <row r="29" ht="22.5" customHeight="1">
      <c r="A29" s="121" t="s">
        <v>693</v>
      </c>
      <c r="B29" s="128" t="s">
        <v>538</v>
      </c>
      <c r="C29" s="129" t="s">
        <v>694</v>
      </c>
      <c r="D29" s="123" t="s">
        <v>531</v>
      </c>
      <c r="E29" s="130"/>
      <c r="F29" s="100" t="s">
        <v>533</v>
      </c>
      <c r="G29" s="131" t="s">
        <v>695</v>
      </c>
      <c r="H29" s="132"/>
      <c r="I29" s="133" t="s">
        <v>696</v>
      </c>
      <c r="J29" s="133" t="s">
        <v>697</v>
      </c>
    </row>
    <row r="30" ht="22.5" customHeight="1">
      <c r="A30" s="121" t="s">
        <v>698</v>
      </c>
      <c r="B30" s="128" t="s">
        <v>538</v>
      </c>
      <c r="C30" s="129" t="s">
        <v>699</v>
      </c>
      <c r="D30" s="123" t="s">
        <v>531</v>
      </c>
      <c r="E30" s="130"/>
      <c r="F30" s="100" t="s">
        <v>533</v>
      </c>
      <c r="G30" s="134" t="s">
        <v>700</v>
      </c>
      <c r="H30" s="132"/>
      <c r="I30" s="133" t="s">
        <v>701</v>
      </c>
      <c r="J30" s="133" t="s">
        <v>702</v>
      </c>
    </row>
    <row r="31" ht="22.5" customHeight="1">
      <c r="A31" s="121" t="s">
        <v>703</v>
      </c>
      <c r="B31" s="128" t="s">
        <v>630</v>
      </c>
      <c r="C31" s="129" t="s">
        <v>704</v>
      </c>
      <c r="D31" s="123" t="s">
        <v>531</v>
      </c>
      <c r="E31" s="130"/>
      <c r="F31" s="100" t="s">
        <v>533</v>
      </c>
      <c r="G31" s="134" t="s">
        <v>705</v>
      </c>
      <c r="H31" s="132"/>
      <c r="I31" s="133" t="s">
        <v>706</v>
      </c>
      <c r="J31" s="133" t="s">
        <v>707</v>
      </c>
    </row>
    <row r="32" ht="22.5" customHeight="1">
      <c r="A32" s="121" t="s">
        <v>708</v>
      </c>
      <c r="B32" s="128" t="s">
        <v>630</v>
      </c>
      <c r="C32" s="129" t="s">
        <v>709</v>
      </c>
      <c r="D32" s="123" t="s">
        <v>531</v>
      </c>
      <c r="E32" s="130"/>
      <c r="F32" s="100" t="s">
        <v>533</v>
      </c>
      <c r="G32" s="134" t="s">
        <v>710</v>
      </c>
      <c r="H32" s="132"/>
      <c r="I32" s="133" t="s">
        <v>711</v>
      </c>
      <c r="J32" s="133" t="s">
        <v>712</v>
      </c>
    </row>
    <row r="33" ht="22.5" customHeight="1">
      <c r="A33" s="121" t="s">
        <v>713</v>
      </c>
      <c r="B33" s="128" t="s">
        <v>630</v>
      </c>
      <c r="C33" s="129" t="s">
        <v>714</v>
      </c>
      <c r="D33" s="123" t="s">
        <v>531</v>
      </c>
      <c r="E33" s="130"/>
      <c r="F33" s="100" t="s">
        <v>533</v>
      </c>
      <c r="G33" s="134" t="s">
        <v>715</v>
      </c>
      <c r="H33" s="132"/>
      <c r="I33" s="133" t="s">
        <v>716</v>
      </c>
      <c r="J33" s="133" t="s">
        <v>717</v>
      </c>
    </row>
  </sheetData>
  <dataValidations>
    <dataValidation type="list" allowBlank="1" sqref="B2:B33">
      <formula1>"Parchi,Campetto,Informali,Area giochi,Giardino"</formula1>
    </dataValidation>
    <dataValidation allowBlank="1" showDropDown="1" sqref="I2:J33"/>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s>
  <drawing r:id="rId33"/>
  <tableParts count="1">
    <tablePart r:id="rId35"/>
  </tableParts>
</worksheet>
</file>